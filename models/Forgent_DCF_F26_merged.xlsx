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4860" tabRatio="600" firstSheet="0" activeTab="1" autoFilterDateGrouping="1"/>
  </bookViews>
  <sheets>
    <sheet xmlns:r="http://schemas.openxmlformats.org/officeDocument/2006/relationships" name="Tearshee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_Stmt" sheetId="3" state="visible" r:id="rId3"/>
    <sheet xmlns:r="http://schemas.openxmlformats.org/officeDocument/2006/relationships" name="Bal_Sh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Capitalization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Comps Analysis" sheetId="9" state="visible" r:id="rId9"/>
    <sheet xmlns:r="http://schemas.openxmlformats.org/officeDocument/2006/relationships" name="Financial Data" sheetId="10" state="visible" r:id="rId10"/>
    <sheet xmlns:r="http://schemas.openxmlformats.org/officeDocument/2006/relationships" name="Fwd Comps" sheetId="11" state="visible" r:id="rId11"/>
    <sheet xmlns:r="http://schemas.openxmlformats.org/officeDocument/2006/relationships" name="Precedents" sheetId="12" state="visible" r:id="rId12"/>
    <sheet xmlns:r="http://schemas.openxmlformats.org/officeDocument/2006/relationships" name="Football Field" sheetId="13" state="visible" r:id="rId13"/>
    <sheet xmlns:r="http://schemas.openxmlformats.org/officeDocument/2006/relationships" name="Notes" sheetId="14" state="visible" r:id="rId14"/>
  </sheets>
  <definedNames>
    <definedName name="BaseVal">Assumptions!$P$9</definedName>
    <definedName name="beta">Assumptions!$D$22</definedName>
    <definedName name="Capacity">Assumptions!$D$36</definedName>
    <definedName name="CapDebt">Capitalization!$D$8</definedName>
    <definedName name="CapexIntensity">Assumptions!$D$38</definedName>
    <definedName name="cash">Assumptions!$D$24</definedName>
    <definedName name="CashYield">Assumptions!$D$35</definedName>
    <definedName name="ClassA">Assumptions!$D$13</definedName>
    <definedName name="ClassB">Assumptions!$D$14</definedName>
    <definedName name="DCFPrice">DCF!$E$37</definedName>
    <definedName name="Debt">Capitalization!$D$8</definedName>
    <definedName name="DepOpex">Assumptions!$D$34</definedName>
    <definedName name="DilutedShares">Assumptions!$D$17</definedName>
    <definedName name="DTA">Assumptions!$D$27</definedName>
    <definedName name="Enterprise">Tearsheet!$N$21</definedName>
    <definedName name="Exchange">Assumptions!$D$9</definedName>
    <definedName name="ExitMult">Assumptions!$D$41</definedName>
    <definedName name="ExitOverride">Assumptions!$D$40</definedName>
    <definedName name="FYE">Assumptions!$D$11</definedName>
    <definedName name="high">Assumptions!$D$19</definedName>
    <definedName name="HighVal">Assumptions!$P$10</definedName>
    <definedName name="Kd">Capitalization!$H$8</definedName>
    <definedName name="low">Assumptions!$D$20</definedName>
    <definedName name="LowVal">Assumptions!$P$11</definedName>
    <definedName name="marketcap">Assumptions!$D$18</definedName>
    <definedName name="MidYear">Assumptions!$D$43</definedName>
    <definedName name="mininterest">Assumptions!$D$28</definedName>
    <definedName name="Name">Assumptions!$D$7</definedName>
    <definedName name="NCIpct">Assumptions!$D$32</definedName>
    <definedName name="NetClaims">DCF!$E$40</definedName>
    <definedName name="prefstock">Assumptions!$D$29</definedName>
    <definedName name="rcash">Assumptions!$D$25</definedName>
    <definedName name="Recommendation">Assumptions!$D$4</definedName>
    <definedName name="RSUs">Assumptions!$D$15</definedName>
    <definedName name="Scenario">Assumptions!$C$45</definedName>
    <definedName name="shareprice">Assumptions!$D$12</definedName>
    <definedName name="shares">Assumptions!$D$16</definedName>
    <definedName name="TargetPrice">Assumptions!$L$13</definedName>
    <definedName name="TaxRate">Assumptions!$D$33</definedName>
    <definedName name="TerminalValue">DCF!$R$17</definedName>
    <definedName name="TGR">Assumptions!$D$39</definedName>
    <definedName name="Ticker">Assumptions!$D$8</definedName>
    <definedName name="TLAmort">Capitalization!$D$13</definedName>
    <definedName name="totaldebt">Assumptions!$D$23</definedName>
    <definedName name="TRA">Assumptions!$D$26</definedName>
    <definedName name="TV">DCF!$R$17</definedName>
    <definedName name="TVweight">Assumptions!$D$42</definedName>
    <definedName name="Util">Assumptions!$D$37</definedName>
    <definedName name="valdate">Assumptions!$D$10</definedName>
    <definedName name="WACC">WACC!$D$23</definedName>
    <definedName name="yield">Assumptions!$D$21</definedName>
    <definedName name="_xlnm._FilterDatabase" localSheetId="1" hidden="1">'Assumptions'!$D$32:$D$39</definedName>
  </definedNames>
  <calcPr calcId="191028" fullCalcOnLoad="1"/>
</workbook>
</file>

<file path=xl/styles.xml><?xml version="1.0" encoding="utf-8"?>
<styleSheet xmlns="http://schemas.openxmlformats.org/spreadsheetml/2006/main">
  <numFmts count="11">
    <numFmt numFmtId="164" formatCode="&quot;$&quot;#,##0.00_);\(&quot;$&quot;#,##0.00\)"/>
    <numFmt numFmtId="165" formatCode="0.0%;\(0.0%\);&quot;-&quot;"/>
    <numFmt numFmtId="166" formatCode="#,##0.0_);\(#,##0.0\);&quot;-&quot;_)"/>
    <numFmt numFmtId="167" formatCode="_(&quot;$&quot;* #,##0.0_);_(&quot;$&quot;* \(#,##0.0\);_(&quot;$&quot;* &quot;-&quot;??_);_(@_)"/>
    <numFmt numFmtId="168" formatCode="0.0\x"/>
    <numFmt numFmtId="169" formatCode="mm/dd/yyyy"/>
    <numFmt numFmtId="170" formatCode="#,##0.000"/>
    <numFmt numFmtId="171" formatCode="0.000"/>
    <numFmt numFmtId="172" formatCode="0.0"/>
    <numFmt numFmtId="173" formatCode="0.0000"/>
    <numFmt numFmtId="174" formatCode="#,##0_);\(#,##0\);&quot;-&quot;"/>
  </numFmts>
  <fonts count="34">
    <font>
      <name val="Calibri"/>
      <family val="2"/>
      <color theme="1"/>
      <sz val="11"/>
      <scheme val="minor"/>
    </font>
    <font>
      <name val="Garamond"/>
      <family val="1"/>
      <b val="1"/>
      <color rgb="FF6F0505"/>
      <sz val="14"/>
    </font>
    <font>
      <name val="Garamond"/>
      <family val="1"/>
      <i val="1"/>
      <sz val="10"/>
    </font>
    <font>
      <name val="Garamond"/>
      <family val="1"/>
      <sz val="11"/>
    </font>
    <font>
      <name val="Garamond"/>
      <family val="1"/>
      <color rgb="FF0000FF"/>
      <sz val="11"/>
    </font>
    <font>
      <name val="Garamond"/>
      <family val="1"/>
      <b val="1"/>
      <color rgb="FFFFFFFF"/>
      <sz val="11"/>
    </font>
    <font>
      <name val="Garamond"/>
      <family val="1"/>
      <i val="1"/>
      <sz val="9"/>
    </font>
    <font>
      <name val="Garamond"/>
      <family val="1"/>
      <i val="1"/>
      <color rgb="FF7F7F7F"/>
      <sz val="9"/>
    </font>
    <font>
      <name val="Garamond"/>
      <family val="1"/>
      <b val="1"/>
      <sz val="11"/>
    </font>
    <font>
      <name val="Garamond"/>
      <family val="1"/>
      <b val="1"/>
      <color rgb="FF0000FF"/>
      <sz val="11"/>
    </font>
    <font>
      <name val="Garamond"/>
      <family val="1"/>
      <b val="1"/>
      <sz val="12"/>
    </font>
    <font>
      <name val="Garamond"/>
      <family val="1"/>
      <b val="1"/>
      <sz val="11"/>
      <u val="single"/>
    </font>
    <font>
      <name val="Garamond"/>
      <family val="1"/>
      <b val="1"/>
      <sz val="11"/>
    </font>
    <font>
      <name val="Garamond"/>
      <family val="1"/>
      <b val="1"/>
      <color rgb="FF0000FF"/>
      <sz val="11"/>
    </font>
    <font>
      <name val="Garamond"/>
      <family val="1"/>
      <b val="1"/>
      <color theme="1"/>
      <sz val="11"/>
    </font>
    <font>
      <name val="Garamond"/>
      <family val="1"/>
      <i val="1"/>
      <sz val="11"/>
    </font>
    <font>
      <name val="Garamond"/>
      <family val="1"/>
      <b val="1"/>
      <i val="1"/>
      <sz val="11"/>
    </font>
    <font>
      <name val="Garamond"/>
      <family val="1"/>
      <sz val="11"/>
    </font>
    <font>
      <name val="Arial"/>
      <family val="2"/>
      <b val="1"/>
      <color rgb="FF6F0505"/>
      <sz val="16"/>
    </font>
    <font>
      <name val="Arial"/>
      <family val="2"/>
      <i val="1"/>
      <sz val="9"/>
    </font>
    <font>
      <name val="Arial"/>
      <family val="2"/>
      <b val="1"/>
      <color rgb="FFFFFFFF"/>
      <sz val="11"/>
    </font>
    <font>
      <name val="Arial"/>
      <family val="2"/>
      <b val="1"/>
      <color rgb="FF6F0505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i val="1"/>
      <sz val="8"/>
    </font>
    <font>
      <name val="Arial"/>
      <family val="2"/>
      <b val="1"/>
      <sz val="8"/>
    </font>
    <font>
      <name val="Garamond"/>
      <family val="1"/>
      <b val="1"/>
      <color rgb="FF6F0505"/>
      <sz val="12"/>
    </font>
    <font>
      <name val="Garamond"/>
      <family val="1"/>
      <sz val="10"/>
    </font>
    <font>
      <name val="Garamond"/>
      <color rgb="FF0000FF"/>
      <sz val="11"/>
    </font>
    <font>
      <name val="Garamond"/>
      <color rgb="FF7F7F7F"/>
      <sz val="9"/>
    </font>
    <font>
      <name val="Garamond"/>
      <b val="1"/>
      <color rgb="FF6F0505"/>
      <sz val="14"/>
    </font>
    <font>
      <name val="Garamond"/>
      <sz val="11"/>
    </font>
    <font>
      <name val="Garamond"/>
      <b val="1"/>
      <sz val="11"/>
    </font>
    <font>
      <name val="Garamond"/>
      <color rgb="FF008000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6F0505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bottom style="thin"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3" borderId="0" pivotButton="0" quotePrefix="0" xfId="0"/>
    <xf numFmtId="0" fontId="0" fillId="3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0" fontId="23" fillId="0" borderId="0" pivotButton="0" quotePrefix="0" xfId="0"/>
    <xf numFmtId="164" fontId="23" fillId="0" borderId="0" applyAlignment="1" pivotButton="0" quotePrefix="0" xfId="0">
      <alignment horizontal="right"/>
    </xf>
    <xf numFmtId="164" fontId="22" fillId="0" borderId="0" applyAlignment="1" pivotButton="0" quotePrefix="0" xfId="0">
      <alignment horizontal="right"/>
    </xf>
    <xf numFmtId="165" fontId="22" fillId="0" borderId="0" applyAlignment="1" pivotButton="0" quotePrefix="0" xfId="0">
      <alignment horizontal="right"/>
    </xf>
    <xf numFmtId="2" fontId="22" fillId="0" borderId="0" applyAlignment="1" pivotButton="0" quotePrefix="0" xfId="0">
      <alignment horizontal="right"/>
    </xf>
    <xf numFmtId="166" fontId="22" fillId="0" borderId="0" applyAlignment="1" pivotButton="0" quotePrefix="0" xfId="0">
      <alignment horizontal="right"/>
    </xf>
    <xf numFmtId="167" fontId="22" fillId="0" borderId="0" applyAlignment="1" pivotButton="0" quotePrefix="0" xfId="0">
      <alignment horizontal="right"/>
    </xf>
    <xf numFmtId="167" fontId="23" fillId="0" borderId="2" applyAlignment="1" pivotButton="0" quotePrefix="0" xfId="0">
      <alignment horizontal="right"/>
    </xf>
    <xf numFmtId="0" fontId="24" fillId="0" borderId="0" pivotButton="0" quotePrefix="0" xfId="0"/>
    <xf numFmtId="0" fontId="23" fillId="0" borderId="1" applyAlignment="1" pivotButton="0" quotePrefix="0" xfId="0">
      <alignment horizontal="right"/>
    </xf>
    <xf numFmtId="167" fontId="22" fillId="0" borderId="0" pivotButton="0" quotePrefix="0" xfId="0"/>
    <xf numFmtId="165" fontId="22" fillId="0" borderId="0" pivotButton="0" quotePrefix="0" xfId="0"/>
    <xf numFmtId="164" fontId="22" fillId="0" borderId="0" pivotButton="0" quotePrefix="0" xfId="0"/>
    <xf numFmtId="168" fontId="22" fillId="0" borderId="0" pivotButton="0" quotePrefix="0" xfId="0"/>
    <xf numFmtId="0" fontId="25" fillId="0" borderId="1" applyAlignment="1" pivotButton="0" quotePrefix="0" xfId="0">
      <alignment horizontal="right" vertical="top" wrapText="1"/>
    </xf>
    <xf numFmtId="166" fontId="2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164" fontId="4" fillId="0" borderId="0" pivotButton="0" quotePrefix="0" xfId="0"/>
    <xf numFmtId="164" fontId="17" fillId="0" borderId="0" pivotButton="0" quotePrefix="0" xfId="0"/>
    <xf numFmtId="164" fontId="3" fillId="0" borderId="0" pivotButton="0" quotePrefix="0" xfId="0"/>
    <xf numFmtId="169" fontId="4" fillId="0" borderId="0" pivotButton="0" quotePrefix="0" xfId="0"/>
    <xf numFmtId="170" fontId="4" fillId="0" borderId="0" pivotButton="0" quotePrefix="0" xfId="0"/>
    <xf numFmtId="164" fontId="8" fillId="0" borderId="0" pivotButton="0" quotePrefix="0" xfId="0"/>
    <xf numFmtId="170" fontId="3" fillId="0" borderId="0" pivotButton="0" quotePrefix="0" xfId="0"/>
    <xf numFmtId="167" fontId="3" fillId="0" borderId="0" pivotButton="0" quotePrefix="0" xfId="0"/>
    <xf numFmtId="165" fontId="4" fillId="0" borderId="0" pivotButton="0" quotePrefix="0" xfId="0"/>
    <xf numFmtId="2" fontId="3" fillId="0" borderId="0" pivotButton="0" quotePrefix="0" xfId="0"/>
    <xf numFmtId="167" fontId="4" fillId="0" borderId="0" pivotButton="0" quotePrefix="0" xfId="0"/>
    <xf numFmtId="165" fontId="3" fillId="0" borderId="0" pivotButton="0" quotePrefix="0" xfId="0"/>
    <xf numFmtId="171" fontId="4" fillId="0" borderId="0" pivotButton="0" quotePrefix="0" xfId="0"/>
    <xf numFmtId="168" fontId="4" fillId="2" borderId="0" pivotButton="0" quotePrefix="0" xfId="0"/>
    <xf numFmtId="168" fontId="3" fillId="0" borderId="0" pivotButton="0" quotePrefix="0" xfId="0"/>
    <xf numFmtId="1" fontId="4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right"/>
    </xf>
    <xf numFmtId="165" fontId="8" fillId="0" borderId="0" pivotButton="0" quotePrefix="0" xfId="0"/>
    <xf numFmtId="167" fontId="8" fillId="0" borderId="0" pivotButton="0" quotePrefix="0" xfId="0"/>
    <xf numFmtId="172" fontId="3" fillId="0" borderId="0" pivotButton="0" quotePrefix="0" xfId="0"/>
    <xf numFmtId="172" fontId="8" fillId="0" borderId="0" pivotButton="0" quotePrefix="0" xfId="0"/>
    <xf numFmtId="172" fontId="4" fillId="0" borderId="0" pivotButton="0" quotePrefix="0" xfId="0"/>
    <xf numFmtId="0" fontId="11" fillId="0" borderId="0" pivotButton="0" quotePrefix="0" xfId="0"/>
    <xf numFmtId="0" fontId="12" fillId="0" borderId="2" pivotButton="0" quotePrefix="0" xfId="0"/>
    <xf numFmtId="167" fontId="13" fillId="0" borderId="2" pivotButton="0" quotePrefix="0" xfId="0"/>
    <xf numFmtId="167" fontId="12" fillId="0" borderId="2" pivotButton="0" quotePrefix="0" xfId="0"/>
    <xf numFmtId="166" fontId="4" fillId="0" borderId="0" pivotButton="0" quotePrefix="0" xfId="0"/>
    <xf numFmtId="166" fontId="3" fillId="0" borderId="0" pivotButton="0" quotePrefix="0" xfId="0"/>
    <xf numFmtId="0" fontId="14" fillId="0" borderId="2" pivotButton="0" quotePrefix="0" xfId="0"/>
    <xf numFmtId="0" fontId="15" fillId="0" borderId="0" pivotButton="0" quotePrefix="0" xfId="0"/>
    <xf numFmtId="166" fontId="15" fillId="0" borderId="0" pivotButton="0" quotePrefix="0" xfId="0"/>
    <xf numFmtId="10" fontId="4" fillId="0" borderId="0" pivotButton="0" quotePrefix="0" xfId="0"/>
    <xf numFmtId="10" fontId="8" fillId="0" borderId="0" pivotButton="0" quotePrefix="0" xfId="0"/>
    <xf numFmtId="10" fontId="3" fillId="0" borderId="0" pivotButton="0" quotePrefix="0" xfId="0"/>
    <xf numFmtId="10" fontId="10" fillId="0" borderId="3" pivotButton="0" quotePrefix="0" xfId="0"/>
    <xf numFmtId="0" fontId="8" fillId="0" borderId="1" pivotButton="0" quotePrefix="0" xfId="0"/>
    <xf numFmtId="2" fontId="4" fillId="0" borderId="0" pivotButton="0" quotePrefix="0" xfId="0"/>
    <xf numFmtId="2" fontId="8" fillId="0" borderId="0" pivotButton="0" quotePrefix="0" xfId="0"/>
    <xf numFmtId="0" fontId="16" fillId="0" borderId="0" pivotButton="0" quotePrefix="0" xfId="0"/>
    <xf numFmtId="0" fontId="6" fillId="0" borderId="0" applyAlignment="1" pivotButton="0" quotePrefix="0" xfId="0">
      <alignment horizontal="right"/>
    </xf>
    <xf numFmtId="169" fontId="3" fillId="0" borderId="0" pivotButton="0" quotePrefix="0" xfId="0"/>
    <xf numFmtId="171" fontId="3" fillId="0" borderId="0" pivotButton="0" quotePrefix="0" xfId="0"/>
    <xf numFmtId="173" fontId="3" fillId="0" borderId="0" pivotButton="0" quotePrefix="0" xfId="0"/>
    <xf numFmtId="167" fontId="8" fillId="0" borderId="2" pivotButton="0" quotePrefix="0" xfId="0"/>
    <xf numFmtId="164" fontId="8" fillId="2" borderId="2" pivotButton="0" quotePrefix="0" xfId="0"/>
    <xf numFmtId="0" fontId="15" fillId="0" borderId="0" applyAlignment="1" pivotButton="0" quotePrefix="0" xfId="0">
      <alignment horizontal="right"/>
    </xf>
    <xf numFmtId="165" fontId="8" fillId="0" borderId="1" pivotButton="0" quotePrefix="0" xfId="0"/>
    <xf numFmtId="164" fontId="12" fillId="2" borderId="0" pivotButton="0" quotePrefix="0" xfId="0"/>
    <xf numFmtId="168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top" wrapText="1"/>
    </xf>
    <xf numFmtId="168" fontId="8" fillId="0" borderId="0" pivotButton="0" quotePrefix="0" xfId="0"/>
    <xf numFmtId="0" fontId="3" fillId="0" borderId="2" pivotButton="0" quotePrefix="0" xfId="0"/>
    <xf numFmtId="0" fontId="3" fillId="0" borderId="0" applyAlignment="1" pivotButton="0" quotePrefix="0" xfId="0">
      <alignment horizontal="right"/>
    </xf>
    <xf numFmtId="0" fontId="26" fillId="0" borderId="0" pivotButton="0" quotePrefix="0" xfId="0"/>
    <xf numFmtId="0" fontId="27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0" pivotButton="0" quotePrefix="0" xfId="0"/>
    <xf numFmtId="164" fontId="23" fillId="0" borderId="0" applyAlignment="1" pivotButton="0" quotePrefix="0" xfId="0">
      <alignment horizontal="right"/>
    </xf>
    <xf numFmtId="164" fontId="22" fillId="0" borderId="0" applyAlignment="1" pivotButton="0" quotePrefix="0" xfId="0">
      <alignment horizontal="right"/>
    </xf>
    <xf numFmtId="165" fontId="22" fillId="0" borderId="0" applyAlignment="1" pivotButton="0" quotePrefix="0" xfId="0">
      <alignment horizontal="right"/>
    </xf>
    <xf numFmtId="166" fontId="22" fillId="0" borderId="0" applyAlignment="1" pivotButton="0" quotePrefix="0" xfId="0">
      <alignment horizontal="right"/>
    </xf>
    <xf numFmtId="167" fontId="22" fillId="0" borderId="0" applyAlignment="1" pivotButton="0" quotePrefix="0" xfId="0">
      <alignment horizontal="right"/>
    </xf>
    <xf numFmtId="167" fontId="23" fillId="0" borderId="2" applyAlignment="1" pivotButton="0" quotePrefix="0" xfId="0">
      <alignment horizontal="right"/>
    </xf>
    <xf numFmtId="167" fontId="22" fillId="0" borderId="0" pivotButton="0" quotePrefix="0" xfId="0"/>
    <xf numFmtId="165" fontId="22" fillId="0" borderId="0" pivotButton="0" quotePrefix="0" xfId="0"/>
    <xf numFmtId="164" fontId="22" fillId="0" borderId="0" pivotButton="0" quotePrefix="0" xfId="0"/>
    <xf numFmtId="168" fontId="22" fillId="0" borderId="0" pivotButton="0" quotePrefix="0" xfId="0"/>
    <xf numFmtId="166" fontId="22" fillId="0" borderId="0" pivotButton="0" quotePrefix="0" xfId="0"/>
    <xf numFmtId="164" fontId="4" fillId="0" borderId="0" pivotButton="0" quotePrefix="0" xfId="0"/>
    <xf numFmtId="164" fontId="17" fillId="0" borderId="0" pivotButton="0" quotePrefix="0" xfId="0"/>
    <xf numFmtId="164" fontId="3" fillId="0" borderId="0" pivotButton="0" quotePrefix="0" xfId="0"/>
    <xf numFmtId="169" fontId="4" fillId="0" borderId="0" pivotButton="0" quotePrefix="0" xfId="0"/>
    <xf numFmtId="170" fontId="4" fillId="0" borderId="0" pivotButton="0" quotePrefix="0" xfId="0"/>
    <xf numFmtId="164" fontId="8" fillId="0" borderId="0" pivotButton="0" quotePrefix="0" xfId="0"/>
    <xf numFmtId="170" fontId="3" fillId="0" borderId="0" pivotButton="0" quotePrefix="0" xfId="0"/>
    <xf numFmtId="167" fontId="3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5" fontId="3" fillId="0" borderId="0" pivotButton="0" quotePrefix="0" xfId="0"/>
    <xf numFmtId="171" fontId="4" fillId="0" borderId="0" pivotButton="0" quotePrefix="0" xfId="0"/>
    <xf numFmtId="168" fontId="28" fillId="2" borderId="0" pivotButton="0" quotePrefix="0" xfId="0"/>
    <xf numFmtId="0" fontId="29" fillId="0" borderId="0" pivotButton="0" quotePrefix="0" xfId="0"/>
    <xf numFmtId="168" fontId="3" fillId="0" borderId="0" pivotButton="0" quotePrefix="0" xfId="0"/>
    <xf numFmtId="165" fontId="8" fillId="0" borderId="0" pivotButton="0" quotePrefix="0" xfId="0"/>
    <xf numFmtId="167" fontId="8" fillId="0" borderId="0" pivotButton="0" quotePrefix="0" xfId="0"/>
    <xf numFmtId="172" fontId="3" fillId="0" borderId="0" pivotButton="0" quotePrefix="0" xfId="0"/>
    <xf numFmtId="172" fontId="8" fillId="0" borderId="0" pivotButton="0" quotePrefix="0" xfId="0"/>
    <xf numFmtId="172" fontId="4" fillId="0" borderId="0" pivotButton="0" quotePrefix="0" xfId="0"/>
    <xf numFmtId="167" fontId="13" fillId="0" borderId="2" pivotButton="0" quotePrefix="0" xfId="0"/>
    <xf numFmtId="167" fontId="12" fillId="0" borderId="2" pivotButton="0" quotePrefix="0" xfId="0"/>
    <xf numFmtId="166" fontId="4" fillId="0" borderId="0" pivotButton="0" quotePrefix="0" xfId="0"/>
    <xf numFmtId="166" fontId="3" fillId="0" borderId="0" pivotButton="0" quotePrefix="0" xfId="0"/>
    <xf numFmtId="166" fontId="15" fillId="0" borderId="0" pivotButton="0" quotePrefix="0" xfId="0"/>
    <xf numFmtId="169" fontId="3" fillId="0" borderId="0" pivotButton="0" quotePrefix="0" xfId="0"/>
    <xf numFmtId="171" fontId="3" fillId="0" borderId="0" pivotButton="0" quotePrefix="0" xfId="0"/>
    <xf numFmtId="173" fontId="3" fillId="0" borderId="0" pivotButton="0" quotePrefix="0" xfId="0"/>
    <xf numFmtId="167" fontId="8" fillId="0" borderId="2" pivotButton="0" quotePrefix="0" xfId="0"/>
    <xf numFmtId="164" fontId="8" fillId="2" borderId="2" pivotButton="0" quotePrefix="0" xfId="0"/>
    <xf numFmtId="165" fontId="8" fillId="0" borderId="1" pivotButton="0" quotePrefix="0" xfId="0"/>
    <xf numFmtId="164" fontId="12" fillId="2" borderId="0" pivotButton="0" quotePrefix="0" xfId="0"/>
    <xf numFmtId="168" fontId="8" fillId="0" borderId="1" pivotButton="0" quotePrefix="0" xfId="0"/>
    <xf numFmtId="168" fontId="8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4" applyAlignment="1" pivotButton="0" quotePrefix="0" xfId="0">
      <alignment horizontal="left" vertical="bottom" wrapText="1"/>
    </xf>
    <xf numFmtId="0" fontId="32" fillId="0" borderId="4" applyAlignment="1" pivotButton="0" quotePrefix="0" xfId="0">
      <alignment horizontal="center" vertical="bottom" wrapText="1"/>
    </xf>
    <xf numFmtId="164" fontId="28" fillId="0" borderId="0" pivotButton="0" quotePrefix="0" xfId="0"/>
    <xf numFmtId="4" fontId="28" fillId="0" borderId="0" pivotButton="0" quotePrefix="0" xfId="0"/>
    <xf numFmtId="174" fontId="31" fillId="0" borderId="0" pivotButton="0" quotePrefix="0" xfId="0"/>
    <xf numFmtId="174" fontId="28" fillId="0" borderId="0" pivotButton="0" quotePrefix="0" xfId="0"/>
    <xf numFmtId="168" fontId="31" fillId="0" borderId="0" pivotButton="0" quotePrefix="0" xfId="0"/>
    <xf numFmtId="165" fontId="31" fillId="0" borderId="0" pivotButton="0" quotePrefix="0" xfId="0"/>
    <xf numFmtId="0" fontId="32" fillId="0" borderId="0" pivotButton="0" quotePrefix="0" xfId="0"/>
    <xf numFmtId="168" fontId="32" fillId="0" borderId="0" pivotButton="0" quotePrefix="0" xfId="0"/>
    <xf numFmtId="165" fontId="32" fillId="0" borderId="0" pivotButton="0" quotePrefix="0" xfId="0"/>
    <xf numFmtId="164" fontId="31" fillId="0" borderId="0" pivotButton="0" quotePrefix="0" xfId="0"/>
    <xf numFmtId="4" fontId="31" fillId="0" borderId="0" pivotButton="0" quotePrefix="0" xfId="0"/>
    <xf numFmtId="164" fontId="32" fillId="0" borderId="0" pivotButton="0" quotePrefix="0" xfId="0"/>
    <xf numFmtId="0" fontId="31" fillId="0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  <xf numFmtId="1" fontId="28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right"/>
    </xf>
    <xf numFmtId="168" fontId="28" fillId="0" borderId="0" pivotButton="0" quotePrefix="0" xfId="0"/>
    <xf numFmtId="174" fontId="33" fillId="0" borderId="0" pivotButton="0" quotePrefix="0" xfId="0"/>
    <xf numFmtId="164" fontId="33" fillId="0" borderId="0" pivotButton="0" quotePrefix="0" xfId="0"/>
    <xf numFmtId="0" fontId="2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Forgent (FPS) - value per share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'Football Field'!C4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 Field'!$B$5:$B$13</f>
            </numRef>
          </cat>
          <val>
            <numRef>
              <f>'Football Field'!$C$5:$C$13</f>
            </numRef>
          </val>
        </ser>
        <ser>
          <idx val="1"/>
          <order val="1"/>
          <tx>
            <strRef>
              <f>'Football Field'!E4</f>
            </strRef>
          </tx>
          <spPr>
            <a:solidFill xmlns:a="http://schemas.openxmlformats.org/drawingml/2006/main">
              <a:srgbClr val="6F0505"/>
            </a:solidFill>
            <a:ln xmlns:a="http://schemas.openxmlformats.org/drawingml/2006/main">
              <a:prstDash val="solid"/>
            </a:ln>
          </spPr>
          <cat>
            <numRef>
              <f>'Football Field'!$B$5:$B$13</f>
            </numRef>
          </cat>
          <val>
            <numRef>
              <f>'Football Field'!$E$5:$E$13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KJ</author>
  </authors>
  <commentList>
    <comment ref="I23" authorId="0" shapeId="0">
      <text>
        <t>Named range Enterprise: includes net TRA claim, consistent with 'Comps Analysis'.</t>
      </text>
    </comment>
    <comment ref="J23" authorId="0" shapeId="0">
      <text>
        <t>Calendarized from June FYE: CY26 = 50% FY26A + 50% FY27E. Follows the live scenario.</t>
      </text>
    </comment>
    <comment ref="K23" authorId="0" shapeId="0">
      <text>
        <t>CY27 = 50% FY27E + 50% FY28E.</t>
      </text>
    </comment>
    <comment ref="L23" authorId="0" shapeId="0">
      <text>
        <t>Company-definition adj. EBITDA (adds back SBC and one-offs), comparable to peers' consensus adjusted EBITDA.</t>
      </text>
    </comment>
  </commentList>
</comments>
</file>

<file path=xl/comments/comment2.xml><?xml version="1.0" encoding="utf-8"?>
<comments xmlns="http://schemas.openxmlformats.org/spreadsheetml/2006/main">
  <authors>
    <author>KJ</author>
  </authors>
  <commentList>
    <comment ref="D31" authorId="0" shapeId="0">
      <text>
        <t>Most deals are priced on current/next-year EBITDA, so they are applied to FPS calendar-2026E, not FY26A LTM.</t>
      </text>
    </comment>
    <comment ref="D32" authorId="0" shapeId="0">
      <text>
        <t>Most deals are priced on current/next-year EBITDA, so they are applied to FPS calendar-2026E, not FY26A LTM.</t>
      </text>
    </comment>
  </commentList>
</comments>
</file>

<file path=xl/comments/comment3.xml><?xml version="1.0" encoding="utf-8"?>
<comments xmlns="http://schemas.openxmlformats.org/spreadsheetml/2006/main">
  <authors>
    <author>KJ</author>
  </authors>
  <commentList>
    <comment ref="C13" authorId="0" shapeId="0">
      <text>
        <t>Mean 12-month target, 10 analysts; stockanalysis.com, 9/25/2026.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N60"/>
  <sheetViews>
    <sheetView showGridLines="0" workbookViewId="0">
      <selection activeCell="A1" sqref="A1"/>
    </sheetView>
  </sheetViews>
  <sheetFormatPr baseColWidth="8" defaultColWidth="8.875" defaultRowHeight="15"/>
  <cols>
    <col width="2.015625" customWidth="1" style="94" min="1" max="2"/>
    <col width="16.0078125" customWidth="1" style="94" min="3" max="6"/>
    <col width="2.015625" customWidth="1" style="94" min="7" max="7"/>
    <col width="29.99609375" customWidth="1" style="94" min="8" max="8"/>
    <col width="11.02734375" customWidth="1" style="94" min="9" max="14"/>
  </cols>
  <sheetData>
    <row r="2" ht="20.25" customHeight="1" s="94">
      <c r="C2" s="1" t="str">
        <f>Name&amp;" ("&amp;Exchange&amp;": "&amp;Ticker&amp;")"</f>
        <v>Forgent Power Solutions, Inc. (NYSE: FPS)</v>
      </c>
      <c r="H2" s="2" t="str">
        <f>"As of: "&amp;TEXT(valdate,"mm/dd/yyyy")</f>
        <v>As of: 09/25/2026</v>
      </c>
    </row>
    <row r="4">
      <c r="C4" s="3" t="inlineStr">
        <is>
          <t>Tear Sheet</t>
        </is>
      </c>
      <c r="D4" s="4" t="n"/>
      <c r="E4" s="4" t="n"/>
      <c r="F4" s="4" t="n"/>
      <c r="H4" s="3" t="inlineStr">
        <is>
          <t>Summary Statistics</t>
        </is>
      </c>
      <c r="I4" s="4" t="n"/>
      <c r="J4" s="4" t="n"/>
      <c r="K4" s="4" t="n"/>
      <c r="L4" s="4" t="n"/>
      <c r="M4" s="4" t="n"/>
      <c r="N4" s="4" t="n"/>
    </row>
    <row r="5">
      <c r="C5" s="5" t="inlineStr">
        <is>
          <t>Business description:</t>
        </is>
      </c>
      <c r="H5" s="6" t="inlineStr">
        <is>
          <t>Stock rating</t>
        </is>
      </c>
      <c r="N5" s="7" t="str">
        <f>Recommendation</f>
        <v>Buy</v>
      </c>
    </row>
    <row r="6">
      <c r="C6" s="93" t="inlineStr">
        <is>
          <t>Forgent Power Solutions designs and manufactures electrical distribution equipment — switchgear, switchboards, dry-type and liquid-filled transformers, eHouses, PDUs and integrated power skids — for data center (59% of FY26 revenue), grid (21%), industrial (10%) and other customers, substantially all in North America. Formed through Neos Partners' 2023–24 roll-up of MGM Transformer, PwrQ, States Manufacturing and VanTran; IPO'd on the NYSE in February 2026 at $27.00. FY26 (June YE) revenue $1.42bn (+89%), adj. EBITDA $323m; backlog $3.0bn at 6/30/26. ~2.3m sq ft of leased plants in MN, TX, CA, MD and Mexico. [10-K FY26; Q4 FY26 release]</t>
        </is>
      </c>
      <c r="H6" s="8" t="inlineStr">
        <is>
          <t>Price target (base DCF)</t>
        </is>
      </c>
      <c r="N6" s="95">
        <f>TargetPrice</f>
        <v>36.34150852065703</v>
      </c>
    </row>
    <row r="7">
      <c r="H7" s="6" t="inlineStr">
        <is>
          <t>Valuation range (bear / bull, DCF + comps avg)</t>
        </is>
      </c>
      <c r="N7" s="7" t="str">
        <f>IF(OR(LowVal=0,HighVal=0),"run scenarios","$"&amp;TEXT(LowVal,"0.00")&amp;" – $"&amp;TEXT(HighVal,"0.00"))</f>
        <v>$29.32 – $43.48</v>
      </c>
    </row>
    <row r="8">
      <c r="H8" s="6" t="inlineStr">
        <is>
          <t>Current price</t>
        </is>
      </c>
      <c r="N8" s="96">
        <f>shareprice</f>
        <v>38.97</v>
      </c>
    </row>
    <row r="9">
      <c r="H9" s="6" t="inlineStr">
        <is>
          <t>Since-IPO low / high</t>
        </is>
      </c>
      <c r="N9" s="7" t="str">
        <f>"$"&amp;TEXT(low,"0.00")&amp;" / $"&amp;TEXT(high,"0.00")</f>
        <v>$25.95 / $66.00</v>
      </c>
    </row>
    <row r="10">
      <c r="H10" s="6" t="inlineStr">
        <is>
          <t>% upside to target</t>
        </is>
      </c>
      <c r="N10" s="97">
        <f>N6/N8-1</f>
        <v>-0.06744910134316062</v>
      </c>
    </row>
    <row r="11"/>
    <row r="12">
      <c r="H12" s="6" t="inlineStr">
        <is>
          <t>Beta (relevered peer median)</t>
        </is>
      </c>
      <c r="N12" s="12">
        <f>beta</f>
        <v>1.167328091292105</v>
      </c>
    </row>
    <row r="13">
      <c r="H13" s="6" t="inlineStr">
        <is>
          <t>Dividend yield</t>
        </is>
      </c>
      <c r="N13" s="97">
        <f>yield</f>
        <v>0.0</v>
      </c>
    </row>
    <row r="14">
      <c r="H14" s="6" t="inlineStr">
        <is>
          <t>Diluted shares, fully exchanged (MM)</t>
        </is>
      </c>
      <c r="N14" s="98">
        <f>DilutedShares</f>
        <v>305.12388</v>
      </c>
    </row>
    <row r="15"/>
    <row r="16">
      <c r="H16" s="6" t="inlineStr">
        <is>
          <t>Market capitalization ($MM)</t>
        </is>
      </c>
      <c r="N16" s="99">
        <f>marketcap</f>
        <v>11863.59380433</v>
      </c>
    </row>
    <row r="17">
      <c r="C17" s="5" t="inlineStr">
        <is>
          <t>Investment thesis (analytical — analyst to confirm):</t>
        </is>
      </c>
      <c r="H17" s="6" t="inlineStr">
        <is>
          <t>+ Debt ($MM)</t>
        </is>
      </c>
      <c r="N17" s="99">
        <f>totaldebt</f>
        <v>598.5</v>
      </c>
    </row>
    <row r="18">
      <c r="C18" s="93" t="inlineStr">
        <is>
          <t>1) Backlog-backed growth: $3.0bn backlog (~2.1x FY26 revenue) and a 3.3x Q4 book-to-bill underpin FY27 guidance of $2.4–2.6bn revenue (+76% at midpoint); FY26 beat the top of guidance after two raises.
2) Operating leverage on a largely built footprint: the 2025–26 capacity program is substantially complete (~$5bn revenue capacity, ~$5.8bn after the $35m PTS Tijuana expansion), so FY27 capex is guided to only ~$87m.
3) Margin ramp: adj. EBITDA margin rose from 20.4% (Q2) to 24.4% (Q4 FY26) as new plants reached rate; sponsor fees ended at IPO.
4) Technical overhang: shares fell from $55.86 (6/30) to $38.97 amid Neos secondary sales and the 8/4 lock-up expiry; Neos' stake is now 37.2% (Class B down from 90.2m to 29.9m units).
The debate: the base-case DCF (below) vs. what the market already prices in on margin durability.</t>
        </is>
      </c>
      <c r="H18" s="6" t="inlineStr">
        <is>
          <t>+ TRA, net of DTA &amp; restricted cash ($MM)</t>
        </is>
      </c>
      <c r="N18" s="99">
        <f>TRA-DTA-rcash</f>
        <v>33.718</v>
      </c>
    </row>
    <row r="19">
      <c r="H19" s="6" t="inlineStr">
        <is>
          <t>+ Preferred &amp; minority interest ($MM)</t>
        </is>
      </c>
      <c r="N19" s="99">
        <f>prefstock+mininterest</f>
        <v>0.0</v>
      </c>
    </row>
    <row r="20">
      <c r="H20" s="6" t="inlineStr">
        <is>
          <t>− Cash &amp; equivalents ($MM)</t>
        </is>
      </c>
      <c r="N20" s="99">
        <f>cash</f>
        <v>97.477</v>
      </c>
    </row>
    <row r="21">
      <c r="H21" s="8" t="inlineStr">
        <is>
          <t>Enterprise value ($MM)</t>
        </is>
      </c>
      <c r="N21" s="100">
        <f>N16+N17+N18+N19-N20</f>
        <v>12398.33480433</v>
      </c>
    </row>
    <row r="22"/>
    <row r="23">
      <c r="H23" s="5" t="str">
        <f>"Financial projections — fiscal years ending "&amp;TEXT(FYE,"mmmm d")</f>
        <v>Financial projections — fiscal years ending June 30</v>
      </c>
    </row>
    <row r="24">
      <c r="H24" s="16" t="inlineStr">
        <is>
          <t>All numbers in $MM except per-share data</t>
        </is>
      </c>
    </row>
    <row r="25">
      <c r="I25" s="17" t="str">
        <f>Inc_Stmt!E5</f>
        <v>FY26A</v>
      </c>
      <c r="J25" s="17" t="str">
        <f>Inc_Stmt!F5</f>
        <v>FY27E</v>
      </c>
      <c r="K25" s="17" t="str">
        <f>Inc_Stmt!G5</f>
        <v>FY28E</v>
      </c>
      <c r="L25" s="17" t="str">
        <f>Inc_Stmt!H5</f>
        <v>FY29E</v>
      </c>
      <c r="M25" s="17" t="str">
        <f>Inc_Stmt!I5</f>
        <v>FY30E</v>
      </c>
      <c r="N25" s="17" t="str">
        <f>Inc_Stmt!J5</f>
        <v>FY31E</v>
      </c>
    </row>
    <row r="26">
      <c r="H26" s="6" t="inlineStr">
        <is>
          <t>Revenue</t>
        </is>
      </c>
      <c r="I26" s="101">
        <f>Inc_Stmt!E12</f>
        <v>1420.059</v>
      </c>
      <c r="J26" s="101">
        <f>Inc_Stmt!F12</f>
        <v>2501.2599999999998</v>
      </c>
      <c r="K26" s="101">
        <f>Inc_Stmt!G12</f>
        <v>3266.9584999999997</v>
      </c>
      <c r="L26" s="101">
        <f>Inc_Stmt!H12</f>
        <v>3909.8604200000004</v>
      </c>
      <c r="M26" s="101">
        <f>Inc_Stmt!I12</f>
        <v>4448.180373000001</v>
      </c>
      <c r="N26" s="101">
        <f>Inc_Stmt!J12</f>
        <v>4886.675313660001</v>
      </c>
    </row>
    <row r="27">
      <c r="H27" s="6" t="inlineStr">
        <is>
          <t xml:space="preserve">   YoY growth</t>
        </is>
      </c>
      <c r="I27" s="102">
        <f>Inc_Stmt!E67</f>
        <v>0.8853978024078981</v>
      </c>
      <c r="J27" s="102">
        <f>Inc_Stmt!F67</f>
        <v>0.7613775202297932</v>
      </c>
      <c r="K27" s="102">
        <f>Inc_Stmt!G67</f>
        <v>0.30612511294307665</v>
      </c>
      <c r="L27" s="102">
        <f>Inc_Stmt!H67</f>
        <v>0.19678912970581064</v>
      </c>
      <c r="M27" s="102">
        <f>Inc_Stmt!I67</f>
        <v>0.1376826523643524</v>
      </c>
      <c r="N27" s="102">
        <f>Inc_Stmt!J67</f>
        <v>0.09857849814760633</v>
      </c>
    </row>
    <row r="28">
      <c r="H28" s="6" t="inlineStr">
        <is>
          <t>Adj. EBITDA</t>
        </is>
      </c>
      <c r="I28" s="101">
        <f>Inc_Stmt!E43</f>
        <v>322.9</v>
      </c>
      <c r="J28" s="101">
        <f>Inc_Stmt!F43</f>
        <v>606.5890876999998</v>
      </c>
      <c r="K28" s="101">
        <f>Inc_Stmt!G43</f>
        <v>843.8010109049998</v>
      </c>
      <c r="L28" s="101">
        <f>Inc_Stmt!H43</f>
        <v>1031.2548868464498</v>
      </c>
      <c r="M28" s="101">
        <f>Inc_Stmt!I43</f>
        <v>1170.416354247389</v>
      </c>
      <c r="N28" s="101">
        <f>Inc_Stmt!J43</f>
        <v>1275.3754539933943</v>
      </c>
    </row>
    <row r="29">
      <c r="H29" s="6" t="inlineStr">
        <is>
          <t xml:space="preserve">   YoY growth</t>
        </is>
      </c>
      <c r="I29" s="102">
        <f>Inc_Stmt!E69</f>
        <v>0.9083924349881796</v>
      </c>
      <c r="J29" s="102">
        <f>Inc_Stmt!F69</f>
        <v>0.8785663911427681</v>
      </c>
      <c r="K29" s="102">
        <f>Inc_Stmt!G69</f>
        <v>0.39105867219675017</v>
      </c>
      <c r="L29" s="102">
        <f>Inc_Stmt!H69</f>
        <v>0.22215412581741356</v>
      </c>
      <c r="M29" s="102">
        <f>Inc_Stmt!I69</f>
        <v>0.13494381377090137</v>
      </c>
      <c r="N29" s="102">
        <f>Inc_Stmt!J69</f>
        <v>0.08967672005360594</v>
      </c>
    </row>
    <row r="30">
      <c r="H30" s="6" t="inlineStr">
        <is>
          <t>EBITDA (GAAP)</t>
        </is>
      </c>
      <c r="I30" s="101">
        <f>Inc_Stmt!E40</f>
        <v>249.389</v>
      </c>
      <c r="J30" s="101">
        <f>Inc_Stmt!F40</f>
        <v>586.5790076999998</v>
      </c>
      <c r="K30" s="101">
        <f>Inc_Stmt!G40</f>
        <v>817.6653429049998</v>
      </c>
      <c r="L30" s="101">
        <f>Inc_Stmt!H40</f>
        <v>999.9760034864499</v>
      </c>
      <c r="M30" s="101">
        <f>Inc_Stmt!I40</f>
        <v>1134.830911263389</v>
      </c>
      <c r="N30" s="101">
        <f>Inc_Stmt!J40</f>
        <v>1236.2820514841144</v>
      </c>
    </row>
    <row r="31">
      <c r="H31" s="6" t="inlineStr">
        <is>
          <t>Net income (incl. NCI)</t>
        </is>
      </c>
      <c r="I31" s="101">
        <f>Inc_Stmt!E30</f>
        <v>106.03500000000001</v>
      </c>
      <c r="J31" s="101">
        <f>Inc_Stmt!F30</f>
        <v>371.05367452499985</v>
      </c>
      <c r="K31" s="101">
        <f>Inc_Stmt!G30</f>
        <v>542.5886403783196</v>
      </c>
      <c r="L31" s="101">
        <f>Inc_Stmt!H30</f>
        <v>689.4500530147799</v>
      </c>
      <c r="M31" s="101">
        <f>Inc_Stmt!I30</f>
        <v>802.7826392130222</v>
      </c>
      <c r="N31" s="101">
        <f>Inc_Stmt!J30</f>
        <v>891.1283964062616</v>
      </c>
    </row>
    <row r="32">
      <c r="H32" s="6" t="inlineStr">
        <is>
          <t>Diluted EPS (fully exchanged)</t>
        </is>
      </c>
      <c r="I32" s="103">
        <f>Inc_Stmt!E36</f>
        <v>0.34799803085001646</v>
      </c>
      <c r="J32" s="103">
        <f>Inc_Stmt!F36</f>
        <v>1.2160754986630344</v>
      </c>
      <c r="K32" s="103">
        <f>Inc_Stmt!G36</f>
        <v>1.7782568849685565</v>
      </c>
      <c r="L32" s="103">
        <f>Inc_Stmt!H36</f>
        <v>2.2595742195425017</v>
      </c>
      <c r="M32" s="103">
        <f>Inc_Stmt!I36</f>
        <v>2.6310056073389676</v>
      </c>
      <c r="N32" s="103">
        <f>Inc_Stmt!J36</f>
        <v>2.9205462266875397</v>
      </c>
    </row>
    <row r="33">
      <c r="H33" s="6" t="inlineStr">
        <is>
          <t>Unlevered FCF</t>
        </is>
      </c>
      <c r="I33" s="101">
        <f>Cash_Flow!E47</f>
        <v>-10.40224999999991</v>
      </c>
      <c r="J33" s="101">
        <f>Cash_Flow!F47</f>
        <v>230.76174272705475</v>
      </c>
      <c r="K33" s="101">
        <f>Cash_Flow!G47</f>
        <v>495.5100858619688</v>
      </c>
      <c r="L33" s="101">
        <f>Cash_Flow!H47</f>
        <v>635.7490001058342</v>
      </c>
      <c r="M33" s="101">
        <f>Cash_Flow!I47</f>
        <v>737.3640401502166</v>
      </c>
      <c r="N33" s="101">
        <f>Cash_Flow!J47</f>
        <v>814.472444904389</v>
      </c>
    </row>
    <row r="34">
      <c r="C34" s="5" t="inlineStr">
        <is>
          <t>Catalysts:</t>
        </is>
      </c>
      <c r="H34" s="6" t="inlineStr">
        <is>
          <t>Capex</t>
        </is>
      </c>
      <c r="I34" s="101">
        <f>-Inc_Stmt!E44</f>
        <v>115.905</v>
      </c>
      <c r="J34" s="101">
        <f>-Inc_Stmt!F44</f>
        <v>87.01259999999999</v>
      </c>
      <c r="K34" s="101">
        <f>-Inc_Stmt!G44</f>
        <v>39.203502</v>
      </c>
      <c r="L34" s="101">
        <f>-Inc_Stmt!H44</f>
        <v>50.82818546</v>
      </c>
      <c r="M34" s="101">
        <f>-Inc_Stmt!I44</f>
        <v>62.274525222000015</v>
      </c>
      <c r="N34" s="101">
        <f>-Inc_Stmt!J44</f>
        <v>73.30012970490002</v>
      </c>
    </row>
    <row r="35">
      <c r="C35" s="93" t="inlineStr">
        <is>
          <t>• Q1 FY27 print (mgmt guides sequential revenue &amp; EBITDA growth every quarter; Q1 burdened by hiring).
• PTS Tijuana expansion online Q4 FY27 (+~$800m capacity).
• Continued conversion of $3.0bn backlog; grid/utility share gains (utility sales ~$110m FY25 from &lt;$50m).
• Diminishing sponsor overhang as Neos sells down; sponsor consent rights lapse below 35%.</t>
        </is>
      </c>
    </row>
    <row r="36">
      <c r="H36" s="6" t="inlineStr">
        <is>
          <t>EV / revenue</t>
        </is>
      </c>
      <c r="I36" s="104">
        <f>Enterprise/Inc_Stmt!E12</f>
        <v>8.730858932150001</v>
      </c>
      <c r="J36" s="104">
        <f>Enterprise/Inc_Stmt!F12</f>
        <v>4.956835676551019</v>
      </c>
      <c r="K36" s="104">
        <f>Enterprise/Inc_Stmt!G12</f>
        <v>3.795069574446691</v>
      </c>
      <c r="L36" s="104">
        <f>Enterprise/Inc_Stmt!H12</f>
        <v>3.1710428180272476</v>
      </c>
      <c r="M36" s="104">
        <f>Enterprise/Inc_Stmt!I12</f>
        <v>2.787282386205969</v>
      </c>
      <c r="N36" s="104">
        <f>Enterprise/Inc_Stmt!J12</f>
        <v>2.5371718005639194</v>
      </c>
    </row>
    <row r="37">
      <c r="H37" s="6" t="inlineStr">
        <is>
          <t>EV / adj. EBITDA</t>
        </is>
      </c>
      <c r="I37" s="104">
        <f>Enterprise/Inc_Stmt!E43</f>
        <v>38.39682503663673</v>
      </c>
      <c r="J37" s="104">
        <f>Enterprise/Inc_Stmt!F43</f>
        <v>20.439429352975488</v>
      </c>
      <c r="K37" s="104">
        <f>Enterprise/Inc_Stmt!G43</f>
        <v>14.693434404673733</v>
      </c>
      <c r="L37" s="104">
        <f>Enterprise/Inc_Stmt!H43</f>
        <v>12.022570716967731</v>
      </c>
      <c r="M37" s="104">
        <f>Enterprise/Inc_Stmt!I43</f>
        <v>10.593097712055194</v>
      </c>
      <c r="N37" s="104">
        <f>Enterprise/Inc_Stmt!J43</f>
        <v>9.721321486554356</v>
      </c>
    </row>
    <row r="38">
      <c r="H38" s="6" t="inlineStr">
        <is>
          <t>P / E</t>
        </is>
      </c>
      <c r="I38" s="104">
        <f>shareprice/Inc_Stmt!E36</f>
        <v>111.98339227613522</v>
      </c>
      <c r="J38" s="104">
        <f>shareprice/Inc_Stmt!F36</f>
        <v>32.04570772361092</v>
      </c>
      <c r="K38" s="104">
        <f>shareprice/Inc_Stmt!G36</f>
        <v>21.91471903154705</v>
      </c>
      <c r="L38" s="104">
        <f>shareprice/Inc_Stmt!H36</f>
        <v>17.246612066538045</v>
      </c>
      <c r="M38" s="104">
        <f>shareprice/Inc_Stmt!I36</f>
        <v>14.811827041073755</v>
      </c>
      <c r="N38" s="104">
        <f>shareprice/Inc_Stmt!J36</f>
        <v>13.34339434311898</v>
      </c>
    </row>
    <row r="39">
      <c r="H39" s="6" t="inlineStr">
        <is>
          <t>Debt / adj. EBITDA</t>
        </is>
      </c>
      <c r="I39" s="104">
        <f>totaldebt/Inc_Stmt!E43</f>
        <v>1.8535150201300714</v>
      </c>
      <c r="J39" s="104">
        <f>totaldebt/Inc_Stmt!F43</f>
        <v>0.9866646336638346</v>
      </c>
      <c r="K39" s="104">
        <f>totaldebt/Inc_Stmt!G43</f>
        <v>0.7092904514988579</v>
      </c>
      <c r="L39" s="104">
        <f>totaldebt/Inc_Stmt!H43</f>
        <v>0.580360886172571</v>
      </c>
      <c r="M39" s="104">
        <f>totaldebt/Inc_Stmt!I43</f>
        <v>0.5113564910709509</v>
      </c>
      <c r="N39" s="104">
        <f>totaldebt/Inc_Stmt!J43</f>
        <v>0.4692735759701236</v>
      </c>
    </row>
    <row r="40">
      <c r="H40" s="6" t="inlineStr">
        <is>
          <t>Adj. EBITDA / interest</t>
        </is>
      </c>
      <c r="I40" s="104">
        <f>Inc_Stmt!E43/-Inc_Stmt!E22</f>
        <v>5.652318518388852</v>
      </c>
      <c r="J40" s="104">
        <f>Inc_Stmt!F43/-Inc_Stmt!F22</f>
        <v>15.860964035022347</v>
      </c>
      <c r="K40" s="104">
        <f>Inc_Stmt!G43/-Inc_Stmt!G22</f>
        <v>22.28695973811929</v>
      </c>
      <c r="L40" s="104">
        <f>Inc_Stmt!H43/-Inc_Stmt!H22</f>
        <v>27.516750433166962</v>
      </c>
      <c r="M40" s="104">
        <f>Inc_Stmt!I43/-Inc_Stmt!I22</f>
        <v>31.552756022138087</v>
      </c>
      <c r="N40" s="104">
        <f>Inc_Stmt!J43/-Inc_Stmt!J22</f>
        <v>34.74138780250894</v>
      </c>
    </row>
    <row r="41"/>
    <row r="42">
      <c r="H42" s="5" t="inlineStr">
        <is>
          <t>Comparables analysis</t>
        </is>
      </c>
    </row>
    <row r="43" ht="24" customHeight="1" s="94">
      <c r="I43" s="22" t="inlineStr">
        <is>
          <t>Mkt cap</t>
        </is>
      </c>
      <c r="J43" s="22" t="inlineStr">
        <is>
          <t>EV</t>
        </is>
      </c>
      <c r="K43" s="22" t="inlineStr">
        <is>
          <t>EV/LTM EBITDA</t>
        </is>
      </c>
      <c r="L43" s="22" t="inlineStr">
        <is>
          <t>LTM P/E</t>
        </is>
      </c>
      <c r="M43" s="22" t="inlineStr">
        <is>
          <t>NTM P/E</t>
        </is>
      </c>
    </row>
    <row r="44">
      <c r="H44" s="6" t="str">
        <f>Ticker&amp;" (at market)"</f>
        <v>FPS (at market)</v>
      </c>
      <c r="I44" s="105">
        <f>'Comps Analysis'!E14</f>
        <v>11863.59380433</v>
      </c>
      <c r="J44" s="105">
        <f>'Comps Analysis'!G14</f>
        <v>12398.33480433</v>
      </c>
      <c r="K44" s="104">
        <f>'Comps Analysis'!D26</f>
        <v>38.39682503663673</v>
      </c>
      <c r="L44" s="104">
        <f>'Comps Analysis'!E26</f>
        <v>111.98339227613522</v>
      </c>
      <c r="M44" s="104">
        <f>'Comps Analysis'!F26</f>
        <v>29.082089552238802</v>
      </c>
    </row>
    <row r="45">
      <c r="H45" s="6" t="inlineStr">
        <is>
          <t>Peer median</t>
        </is>
      </c>
      <c r="I45" s="105">
        <f>MEDIAN('Comps Analysis'!E7:E12)</f>
        <v>62060.8349</v>
      </c>
      <c r="J45" s="105">
        <f>MEDIAN('Comps Analysis'!G7:G12)</f>
        <v>63781.1009</v>
      </c>
      <c r="K45" s="104">
        <f>'Comps Analysis'!D30</f>
        <v>27.752828231784278</v>
      </c>
      <c r="L45" s="104">
        <f>'Comps Analysis'!E30</f>
        <v>40.556454885252556</v>
      </c>
      <c r="M45" s="104">
        <f>'Comps Analysis'!F30</f>
        <v>27.76846491665835</v>
      </c>
    </row>
    <row r="46">
      <c r="C46" s="5" t="inlineStr">
        <is>
          <t>Risks:</t>
        </is>
      </c>
      <c r="H46" s="6" t="inlineStr">
        <is>
          <t>Peer max</t>
        </is>
      </c>
      <c r="I46" s="105">
        <f>MAX('Comps Analysis'!E7:E12)</f>
        <v>255045.5979</v>
      </c>
      <c r="J46" s="105">
        <f>MAX('Comps Analysis'!G7:G12)</f>
        <v>247203.5979</v>
      </c>
      <c r="K46" s="104">
        <f>'Comps Analysis'!D28</f>
        <v>62.90167885496183</v>
      </c>
      <c r="L46" s="104">
        <f>'Comps Analysis'!E28</f>
        <v>57.30316742081448</v>
      </c>
      <c r="M46" s="104">
        <f>'Comps Analysis'!F28</f>
        <v>43.14620410002253</v>
      </c>
    </row>
    <row r="47">
      <c r="C47" s="93" t="inlineStr">
        <is>
          <t>1) Concentration: data center = 59% of revenue; one customer ~11% of FY26 revenue (unnamed).
2) Ramp execution: under-absorption cost 1.8–2.0% of revenue in Q2–Q3 FY26; gross margin fell 36.9% → 35.0%.
3) Inputs &amp; trade: unhedged electrical steel, copper, aluminum; ~1/3 of footprint in Mexico (tariff exposure).
4) Capital structure: $598.5m floating-rate term loan (±$6m interest per 100bp); $339m TRA liability.
5) Cycle: AI/data-center capex slowdown or incumbents (Eaton, Schneider, Vertiv) adding capacity compresses pricing — the base case already fades EBITDA margin from ~25% to ~22%.</t>
        </is>
      </c>
      <c r="H47" s="6" t="inlineStr">
        <is>
          <t>Peer min</t>
        </is>
      </c>
      <c r="I47" s="105">
        <f>MIN('Comps Analysis'!E7:E12)</f>
        <v>6904.5779</v>
      </c>
      <c r="J47" s="105">
        <f>MIN('Comps Analysis'!G7:G12)</f>
        <v>6273.537900000001</v>
      </c>
      <c r="K47" s="104">
        <f>'Comps Analysis'!D33</f>
        <v>19.621667499999997</v>
      </c>
      <c r="L47" s="104">
        <f>'Comps Analysis'!E33</f>
        <v>27.407842014882657</v>
      </c>
      <c r="M47" s="104">
        <f>'Comps Analysis'!F33</f>
        <v>20.91762860024655</v>
      </c>
    </row>
    <row r="48"/>
    <row r="49">
      <c r="H49" s="16" t="inlineStr">
        <is>
          <t>Peers: ETN, VRT, HUBB, NVT, GEV, POWL. Stock-price chart deferred (needs daily price history).</t>
        </is>
      </c>
    </row>
    <row r="50"/>
    <row r="51"/>
    <row r="52"/>
    <row r="53"/>
    <row r="54"/>
    <row r="55"/>
    <row r="56"/>
    <row r="57"/>
    <row r="58"/>
    <row r="59"/>
    <row r="60"/>
  </sheetData>
  <mergeCells count="4">
    <mergeCell ref="C6:F15"/>
    <mergeCell ref="C18:F32"/>
    <mergeCell ref="C47:F60"/>
    <mergeCell ref="C35:F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5"/>
  <sheetViews>
    <sheetView showGridLines="0" tabSelected="1" workbookViewId="0">
      <pane xSplit="2" ySplit="53" topLeftCell="C54" activePane="bottomRight" state="frozen"/>
      <selection pane="bottomLeft" activeCell="A1" sqref="A1"/>
      <selection pane="topRight" activeCell="A1" sqref="A1"/>
      <selection pane="bottomRight" activeCell="D32" sqref="D32"/>
    </sheetView>
  </sheetViews>
  <sheetFormatPr baseColWidth="8" defaultColWidth="8.875" defaultRowHeight="15"/>
  <cols>
    <col width="2.95703125" customWidth="1" style="94" min="1" max="1"/>
    <col width="43.98828125" customWidth="1" style="94" min="2" max="2"/>
    <col width="12.5078125" customWidth="1" style="94" min="3" max="3"/>
    <col width="16.0078125" customWidth="1" style="94" min="4" max="4"/>
    <col width="12.5078125" customWidth="1" style="94" min="5" max="15"/>
    <col width="59.99609375" customWidth="1" style="94" min="17" max="17"/>
  </cols>
  <sheetData>
    <row r="1" ht="18.75" customHeight="1" s="94">
      <c r="A1" s="24" t="str">
        <f>"Assumptions for "&amp;Name</f>
        <v>Assumptions for Forgent Power Solutions, Inc.</v>
      </c>
    </row>
    <row r="2">
      <c r="A2" s="25" t="inlineStr">
        <is>
          <t>(Dollars in Millions unless stated)</t>
        </is>
      </c>
    </row>
    <row r="3">
      <c r="B3" s="26" t="inlineStr">
        <is>
          <t>Valuation prepared by</t>
        </is>
      </c>
      <c r="D3" s="27" t="inlineStr">
        <is>
          <t>KJ</t>
        </is>
      </c>
      <c r="F3" s="26" t="inlineStr">
        <is>
          <t>HY Fund</t>
        </is>
      </c>
    </row>
    <row r="4">
      <c r="B4" s="26" t="inlineStr">
        <is>
          <t>Recommendation</t>
        </is>
      </c>
      <c r="D4" s="28" t="inlineStr">
        <is>
          <t>Buy</t>
        </is>
      </c>
    </row>
    <row r="6">
      <c r="B6" s="29" t="inlineStr">
        <is>
          <t>Company Information</t>
        </is>
      </c>
      <c r="C6" s="4" t="n"/>
      <c r="D6" s="29" t="inlineStr">
        <is>
          <t>Input</t>
        </is>
      </c>
      <c r="E6" s="4" t="n"/>
      <c r="F6" s="29" t="inlineStr">
        <is>
          <t>Name</t>
        </is>
      </c>
      <c r="G6" s="4" t="n"/>
      <c r="H6" s="4" t="n"/>
      <c r="J6" s="29" t="inlineStr">
        <is>
          <t>Share Price Outputs</t>
        </is>
      </c>
      <c r="K6" s="4" t="n"/>
      <c r="L6" s="4" t="n"/>
      <c r="M6" s="4" t="n"/>
      <c r="N6" s="4" t="n"/>
      <c r="O6" s="4" t="n"/>
      <c r="P6" s="4" t="n"/>
    </row>
    <row r="7">
      <c r="B7" s="26" t="inlineStr">
        <is>
          <t>Company name</t>
        </is>
      </c>
      <c r="D7" s="27" t="inlineStr">
        <is>
          <t>Forgent Power Solutions, Inc.</t>
        </is>
      </c>
      <c r="F7" s="30" t="inlineStr">
        <is>
          <t>"Name"</t>
        </is>
      </c>
      <c r="H7" s="31" t="inlineStr">
        <is>
          <t>10-K cover (FY26), filed 9/15/2026</t>
        </is>
      </c>
    </row>
    <row r="8">
      <c r="B8" s="26" t="inlineStr">
        <is>
          <t>Ticker</t>
        </is>
      </c>
      <c r="D8" s="27" t="inlineStr">
        <is>
          <t>FPS</t>
        </is>
      </c>
      <c r="F8" s="30" t="inlineStr">
        <is>
          <t>"Ticker"</t>
        </is>
      </c>
      <c r="H8" s="31" t="inlineStr">
        <is>
          <t>10-K cover</t>
        </is>
      </c>
      <c r="J8" s="32" t="inlineStr">
        <is>
          <t>Scenario</t>
        </is>
      </c>
      <c r="L8" s="33" t="inlineStr">
        <is>
          <t>DCF</t>
        </is>
      </c>
      <c r="N8" s="33" t="inlineStr">
        <is>
          <t>Comps</t>
        </is>
      </c>
      <c r="P8" s="33" t="inlineStr">
        <is>
          <t>Average</t>
        </is>
      </c>
    </row>
    <row r="9">
      <c r="B9" s="26" t="inlineStr">
        <is>
          <t>Exchange</t>
        </is>
      </c>
      <c r="D9" s="27" t="inlineStr">
        <is>
          <t>NYSE</t>
        </is>
      </c>
      <c r="F9" s="30" t="inlineStr">
        <is>
          <t>"Exchange"</t>
        </is>
      </c>
      <c r="H9" s="31" t="inlineStr">
        <is>
          <t>10-K cover</t>
        </is>
      </c>
      <c r="J9" s="26" t="str">
        <f>B46</f>
        <v>Base</v>
      </c>
      <c r="L9" s="106" t="n">
        <v>36.3415</v>
      </c>
      <c r="N9" s="107">
        <f>'Comps Analysis'!G43</f>
        <v>37.20974298832219</v>
      </c>
      <c r="P9" s="108">
        <f>AVERAGE(L9,N9)</f>
        <v>36.7756214941611</v>
      </c>
    </row>
    <row r="10">
      <c r="B10" s="26" t="inlineStr">
        <is>
          <t>Valuation date</t>
        </is>
      </c>
      <c r="D10" s="109" t="n">
        <v>46290</v>
      </c>
      <c r="F10" s="30" t="inlineStr">
        <is>
          <t>"valdate"</t>
        </is>
      </c>
      <c r="H10" s="31" t="inlineStr">
        <is>
          <t>Last close used for price</t>
        </is>
      </c>
      <c r="J10" s="26" t="str">
        <f>B47</f>
        <v>Bull</v>
      </c>
      <c r="L10" s="106" t="n">
        <v>47.7447</v>
      </c>
      <c r="N10" s="107">
        <f>'Comps Analysis'!G42</f>
        <v>39.20624237801433</v>
      </c>
      <c r="P10" s="108">
        <f>AVERAGE(L10,N10)</f>
        <v>43.475471189007166</v>
      </c>
    </row>
    <row r="11">
      <c r="B11" s="26" t="inlineStr">
        <is>
          <t>Last fiscal year end</t>
        </is>
      </c>
      <c r="D11" s="109" t="n">
        <v>46203</v>
      </c>
      <c r="F11" s="30" t="inlineStr">
        <is>
          <t>"FYE"</t>
        </is>
      </c>
      <c r="H11" s="31" t="inlineStr">
        <is>
          <t>10-K: FY ends June 30</t>
        </is>
      </c>
      <c r="J11" s="26" t="str">
        <f>B48</f>
        <v>Bear</v>
      </c>
      <c r="L11" s="106" t="n">
        <v>22.8707</v>
      </c>
      <c r="N11" s="107">
        <f>'Comps Analysis'!G44</f>
        <v>35.776724977523855</v>
      </c>
      <c r="P11" s="108">
        <f>AVERAGE(L11,N11)</f>
        <v>29.323712488761927</v>
      </c>
    </row>
    <row r="12">
      <c r="B12" s="26" t="inlineStr">
        <is>
          <t>Last share price</t>
        </is>
      </c>
      <c r="D12" s="106" t="n">
        <v>38.97</v>
      </c>
      <c r="F12" s="30" t="inlineStr">
        <is>
          <t>"shareprice"</t>
        </is>
      </c>
      <c r="H12" s="31" t="inlineStr">
        <is>
          <t>Close 9/25/2026 — StockAnalysis / MarketBeat / MarketScreener</t>
        </is>
      </c>
      <c r="J12" s="26" t="inlineStr">
        <is>
          <t>Live DCF (current scenario)</t>
        </is>
      </c>
      <c r="L12" s="108">
        <f>DCF!E37</f>
        <v>36.34150852065703</v>
      </c>
    </row>
    <row r="13">
      <c r="B13" s="26" t="inlineStr">
        <is>
          <t>Class A shares (MM)</t>
        </is>
      </c>
      <c r="D13" s="110" t="n">
        <v>274.527094</v>
      </c>
      <c r="F13" s="30" t="inlineStr">
        <is>
          <t>"ClassA"</t>
        </is>
      </c>
      <c r="H13" s="31" t="inlineStr">
        <is>
          <t>10-K cover, as of 9/8/2026</t>
        </is>
      </c>
      <c r="J13" s="32" t="inlineStr">
        <is>
          <t>Target Price (base DCF)</t>
        </is>
      </c>
      <c r="L13" s="111">
        <f>IF(Scenario=1,DCF!E37,L9)</f>
        <v>36.34150852065703</v>
      </c>
    </row>
    <row r="14">
      <c r="B14" s="26" t="inlineStr">
        <is>
          <t>Class B shares = exchangeable Opco units (MM)</t>
        </is>
      </c>
      <c r="D14" s="110" t="n">
        <v>29.901795</v>
      </c>
      <c r="F14" s="30" t="inlineStr">
        <is>
          <t>"ClassB"</t>
        </is>
      </c>
      <c r="H14" s="31" t="inlineStr">
        <is>
          <t>10-K cover, as of 9/8/2026 (held by Neos vehicles)</t>
        </is>
      </c>
      <c r="J14" s="30" t="inlineStr">
        <is>
          <t>**DCF column L9:L11 is pasted from running each scenario (same convention as the Oracle model). Re-run Scenario 1/2/3 and re-paste if any driver changes.</t>
        </is>
      </c>
    </row>
    <row r="15">
      <c r="B15" s="26" t="inlineStr">
        <is>
          <t>Unvested RSUs (MM)</t>
        </is>
      </c>
      <c r="D15" s="110" t="n">
        <v>0.694991</v>
      </c>
      <c r="F15" s="30" t="inlineStr">
        <is>
          <t>"RSUs"</t>
        </is>
      </c>
      <c r="H15" s="31" t="inlineStr">
        <is>
          <t>10-K Note 20, 6/30/2026 (no options outstanding)</t>
        </is>
      </c>
    </row>
    <row r="16">
      <c r="B16" s="26" t="inlineStr">
        <is>
          <t>Basic shares, fully exchanged (MM)</t>
        </is>
      </c>
      <c r="D16" s="112">
        <f>D13+D14</f>
        <v>304.42888899999997</v>
      </c>
      <c r="F16" s="30" t="inlineStr">
        <is>
          <t>"shares"</t>
        </is>
      </c>
      <c r="H16" s="31" t="inlineStr">
        <is>
          <t>Up-C: Class B exchangeable 1:1 — value on fully-exchanged basis</t>
        </is>
      </c>
    </row>
    <row r="17">
      <c r="B17" s="26" t="inlineStr">
        <is>
          <t>Diluted shares, fully exchanged (MM)</t>
        </is>
      </c>
      <c r="D17" s="112">
        <f>D16+D15</f>
        <v>305.12388</v>
      </c>
      <c r="F17" s="30" t="inlineStr">
        <is>
          <t>"DilutedShares"</t>
        </is>
      </c>
      <c r="H17" s="31" t="inlineStr">
        <is>
          <t>Basic + all RSUs (no strike -&gt; no treasury method)</t>
        </is>
      </c>
    </row>
    <row r="18">
      <c r="B18" s="26" t="inlineStr">
        <is>
          <t>Market cap ($MM)</t>
        </is>
      </c>
      <c r="D18" s="113">
        <f>shareprice*shares</f>
        <v>11863.59380433</v>
      </c>
      <c r="F18" s="30" t="inlineStr">
        <is>
          <t>"marketcap"</t>
        </is>
      </c>
      <c r="H18" s="31" t="n"/>
    </row>
    <row r="19">
      <c r="B19" s="26" t="inlineStr">
        <is>
          <t>Since-IPO high</t>
        </is>
      </c>
      <c r="D19" s="106" t="n">
        <v>66</v>
      </c>
      <c r="F19" s="30" t="inlineStr">
        <is>
          <t>"high"</t>
        </is>
      </c>
      <c r="H19" s="31" t="inlineStr">
        <is>
          <t>StockAnalysis / MarketBeat (IPO 2/5/2026)</t>
        </is>
      </c>
    </row>
    <row r="20">
      <c r="B20" s="26" t="inlineStr">
        <is>
          <t>Since-IPO low</t>
        </is>
      </c>
      <c r="D20" s="106" t="n">
        <v>25.95</v>
      </c>
      <c r="F20" s="30" t="inlineStr">
        <is>
          <t>"low"</t>
        </is>
      </c>
      <c r="H20" s="31" t="inlineStr">
        <is>
          <t>StockAnalysis / MarketBeat</t>
        </is>
      </c>
    </row>
    <row r="21">
      <c r="B21" s="26" t="inlineStr">
        <is>
          <t>Dividend yield</t>
        </is>
      </c>
      <c r="D21" s="114" t="n">
        <v>0</v>
      </c>
      <c r="F21" s="30" t="inlineStr">
        <is>
          <t>"yield"</t>
        </is>
      </c>
      <c r="H21" s="31" t="inlineStr">
        <is>
          <t>10-K Item 5: no dividend intended</t>
        </is>
      </c>
    </row>
    <row r="22">
      <c r="B22" s="26" t="inlineStr">
        <is>
          <t>Beta (relevered peer median)</t>
        </is>
      </c>
      <c r="D22" s="43">
        <f>WACC!D36</f>
        <v>1.167328091292105</v>
      </c>
      <c r="F22" s="30" t="inlineStr">
        <is>
          <t>"beta"</t>
        </is>
      </c>
      <c r="H22" s="31" t="inlineStr">
        <is>
          <t>No usable FPS beta (&lt;8 months trading) — see WACC tab</t>
        </is>
      </c>
    </row>
    <row r="23">
      <c r="B23" s="26" t="inlineStr">
        <is>
          <t>Total debt ($MM, principal)</t>
        </is>
      </c>
      <c r="D23" s="113">
        <f>CapDebt</f>
        <v>598.5</v>
      </c>
      <c r="F23" s="30" t="inlineStr">
        <is>
          <t>"totaldebt"</t>
        </is>
      </c>
      <c r="H23" s="31" t="inlineStr">
        <is>
          <t>Capitalization tab</t>
        </is>
      </c>
    </row>
    <row r="24">
      <c r="B24" s="26" t="inlineStr">
        <is>
          <t>Cash &amp; equivalents ($MM)</t>
        </is>
      </c>
      <c r="D24" s="115" t="n">
        <v>97.477</v>
      </c>
      <c r="F24" s="30" t="inlineStr">
        <is>
          <t>"cash"</t>
        </is>
      </c>
      <c r="H24" s="31" t="inlineStr">
        <is>
          <t>10-K balance sheet 6/30/2026</t>
        </is>
      </c>
    </row>
    <row r="25">
      <c r="B25" s="26" t="inlineStr">
        <is>
          <t>Restricted cash for TRA ($MM)</t>
        </is>
      </c>
      <c r="D25" s="115" t="n">
        <v>24.236</v>
      </c>
      <c r="F25" s="30" t="inlineStr">
        <is>
          <t>"rcash"</t>
        </is>
      </c>
      <c r="H25" s="31" t="inlineStr">
        <is>
          <t>10-K: in prepaid &amp; other current assets</t>
        </is>
      </c>
    </row>
    <row r="26">
      <c r="B26" s="26" t="inlineStr">
        <is>
          <t>Tax receivable agreement liability ($MM)</t>
        </is>
      </c>
      <c r="D26" s="115" t="n">
        <v>338.925</v>
      </c>
      <c r="F26" s="30" t="inlineStr">
        <is>
          <t>"TRA"</t>
        </is>
      </c>
      <c r="H26" s="31" t="inlineStr">
        <is>
          <t>10-K balance sheet 6/30/2026 (total liabilities less other lines)</t>
        </is>
      </c>
    </row>
    <row r="27">
      <c r="B27" s="26" t="inlineStr">
        <is>
          <t>Deferred tax asset backing TRA ($MM)</t>
        </is>
      </c>
      <c r="D27" s="115" t="n">
        <v>280.971</v>
      </c>
      <c r="F27" s="30" t="inlineStr">
        <is>
          <t>"DTA"</t>
        </is>
      </c>
      <c r="H27" s="31" t="inlineStr">
        <is>
          <t>10-K balance sheet 6/30/2026 (DTA, net)</t>
        </is>
      </c>
    </row>
    <row r="28">
      <c r="B28" s="26" t="inlineStr">
        <is>
          <t>Minority interest subtracted in bridge ($MM)</t>
        </is>
      </c>
      <c r="D28" s="115" t="n">
        <v>0</v>
      </c>
      <c r="F28" s="30" t="inlineStr">
        <is>
          <t>"mininterest"</t>
        </is>
      </c>
      <c r="H28" s="31" t="inlineStr">
        <is>
          <t>Book NCI $107.1m NOT subtracted: Class B holders are already in the share count</t>
        </is>
      </c>
    </row>
    <row r="29">
      <c r="B29" s="26" t="inlineStr">
        <is>
          <t>Preferred stock ($MM)</t>
        </is>
      </c>
      <c r="D29" s="115" t="n">
        <v>0</v>
      </c>
      <c r="F29" s="30" t="inlineStr">
        <is>
          <t>"prefstock"</t>
        </is>
      </c>
      <c r="H29" s="31" t="inlineStr">
        <is>
          <t>None outstanding</t>
        </is>
      </c>
    </row>
    <row r="31">
      <c r="B31" s="29" t="inlineStr">
        <is>
          <t>Model Inputs</t>
        </is>
      </c>
      <c r="C31" s="4" t="n"/>
      <c r="D31" s="4" t="n"/>
      <c r="E31" s="4" t="n"/>
      <c r="F31" s="4" t="n"/>
      <c r="G31" s="4" t="n"/>
      <c r="H31" s="4" t="n"/>
    </row>
    <row r="32">
      <c r="B32" s="26" t="inlineStr">
        <is>
          <t>NCI economic interest (Class B / fully exchanged)</t>
        </is>
      </c>
      <c r="D32" s="116">
        <f>ClassB/shares</f>
        <v>0.09822259345432885</v>
      </c>
      <c r="F32" s="30" t="inlineStr">
        <is>
          <t>"NCIpct"</t>
        </is>
      </c>
      <c r="H32" s="31" t="inlineStr">
        <is>
          <t>Used only to split GAAP net income</t>
        </is>
      </c>
    </row>
    <row r="33">
      <c r="B33" s="26" t="inlineStr">
        <is>
          <t>Tax rate (normalized, fully exchanged)</t>
        </is>
      </c>
      <c r="D33" s="114" t="n">
        <v>0.25</v>
      </c>
      <c r="F33" s="30" t="inlineStr">
        <is>
          <t>"TaxRate"</t>
        </is>
      </c>
      <c r="H33" s="31" t="inlineStr">
        <is>
          <t>21% federal + state; FY26 ETR 16.8% is depressed by untaxed NCI share</t>
        </is>
      </c>
    </row>
    <row r="34">
      <c r="B34" s="26" t="inlineStr">
        <is>
          <t>Share of depreciation booked in opex</t>
        </is>
      </c>
      <c r="D34" s="114" t="n">
        <v>0.226</v>
      </c>
      <c r="F34" s="30" t="inlineStr">
        <is>
          <t>"DepOpex"</t>
        </is>
      </c>
      <c r="H34" s="31" t="inlineStr">
        <is>
          <t>10-K Note 7: $4.3m of $19.0m FY26 depreciation in opex</t>
        </is>
      </c>
    </row>
    <row r="35">
      <c r="B35" s="26" t="inlineStr">
        <is>
          <t>Interest yield on cash</t>
        </is>
      </c>
      <c r="D35" s="114" t="n">
        <v>0.025</v>
      </c>
      <c r="F35" s="30" t="inlineStr">
        <is>
          <t>"CashYield"</t>
        </is>
      </c>
      <c r="H35" s="31" t="inlineStr">
        <is>
          <t>FY26 interest income $2.8m on ~$104m avg cash = 2.7%</t>
        </is>
      </c>
    </row>
    <row r="36">
      <c r="B36" s="26" t="inlineStr">
        <is>
          <t>Revenue capacity after FY27 expansion ($MM)</t>
        </is>
      </c>
      <c r="D36" s="115" t="n">
        <v>5800</v>
      </c>
      <c r="F36" s="30" t="inlineStr">
        <is>
          <t>"Capacity"</t>
        </is>
      </c>
      <c r="H36" s="31" t="inlineStr">
        <is>
          <t>Q4 FY26 release: ~$5bn today + ~$0.8bn PTS Tijuana expansion (online Q4 FY27)</t>
        </is>
      </c>
    </row>
    <row r="37">
      <c r="B37" s="26" t="inlineStr">
        <is>
          <t>Max sustainable utilization</t>
        </is>
      </c>
      <c r="D37" s="114" t="n">
        <v>0.9</v>
      </c>
      <c r="F37" s="30" t="inlineStr">
        <is>
          <t>"Util"</t>
        </is>
      </c>
      <c r="H37" s="31" t="inlineStr">
        <is>
          <t>Analyst assumption — plants can't run at 100%</t>
        </is>
      </c>
    </row>
    <row r="38">
      <c r="B38" s="26" t="inlineStr">
        <is>
          <t>Growth capex per $1 of new revenue capacity</t>
        </is>
      </c>
      <c r="D38" s="117">
        <f>35/800</f>
        <v>0.04375</v>
      </c>
      <c r="F38" s="30" t="inlineStr">
        <is>
          <t>"CapexIntensity"</t>
        </is>
      </c>
      <c r="H38" s="31" t="inlineStr">
        <is>
          <t>Q4 FY26 release: $35m PTS expansion adds ~$800m capacity</t>
        </is>
      </c>
    </row>
    <row r="39">
      <c r="B39" s="26" t="inlineStr">
        <is>
          <t>Terminal growth rate (Gordon)</t>
        </is>
      </c>
      <c r="D39" s="114" t="n">
        <v>0.03</v>
      </c>
      <c r="F39" s="30" t="inlineStr">
        <is>
          <t>"TGR"</t>
        </is>
      </c>
      <c r="H39" s="31" t="inlineStr">
        <is>
          <t>&lt;= long-run nominal GDP</t>
        </is>
      </c>
    </row>
    <row r="40">
      <c r="B40" s="26" t="inlineStr">
        <is>
          <t>Exit EV/EBITDA override (blank = comps median)</t>
        </is>
      </c>
      <c r="D40" s="118" t="n">
        <v>14</v>
      </c>
      <c r="F40" s="30" t="inlineStr">
        <is>
          <t>"ExitOverride"</t>
        </is>
      </c>
      <c r="H40" s="119" t="inlineStr">
        <is>
          <t>14.0x = mature-company exit for FY36 (growth ~3%): between precedent median (~12.6x) and 25th-pct peer EV / CY27E EBITDA (~15.5x) on 'Fwd Comps'. Blank reverts to peer EV/LTM median (27.8x), which implied ~7% perpetual growth (DCF!E47). At 14.0x DCF!E47 still shows ~4.7% (Gordon-consistent multiple ~10.3x), so 14.0x is not conservative.</t>
        </is>
      </c>
    </row>
    <row r="41">
      <c r="B41" s="26" t="inlineStr">
        <is>
          <t>Exit EV/EBITDA multiple used</t>
        </is>
      </c>
      <c r="D41" s="120">
        <f>IF(ISNUMBER(ExitOverride),ExitOverride,'Comps Analysis'!D30)</f>
        <v>14.0</v>
      </c>
      <c r="F41" s="30" t="inlineStr">
        <is>
          <t>"ExitMult"</t>
        </is>
      </c>
      <c r="H41" s="31" t="n"/>
    </row>
    <row r="42">
      <c r="B42" s="26" t="inlineStr">
        <is>
          <t>Weight on Gordon TV in blended TV</t>
        </is>
      </c>
      <c r="D42" s="114" t="n">
        <v>0.5</v>
      </c>
      <c r="F42" s="30" t="inlineStr">
        <is>
          <t>"TVweight"</t>
        </is>
      </c>
      <c r="H42" s="31" t="inlineStr">
        <is>
          <t>Oracle template averaged both methods; kept as an input</t>
        </is>
      </c>
    </row>
    <row r="43">
      <c r="B43" s="26" t="inlineStr">
        <is>
          <t>Mid-year convention (1 = on, 0 = off)</t>
        </is>
      </c>
      <c r="D43" s="49" t="n">
        <v>1</v>
      </c>
      <c r="F43" s="30" t="inlineStr">
        <is>
          <t>"MidYear"</t>
        </is>
      </c>
      <c r="H43" s="31" t="inlineStr">
        <is>
          <t>IB standard</t>
        </is>
      </c>
    </row>
    <row r="45">
      <c r="B45" s="32" t="inlineStr">
        <is>
          <t>Scenarios</t>
        </is>
      </c>
      <c r="C45" s="50" t="n">
        <v>1</v>
      </c>
      <c r="D45" s="32" t="str">
        <f>INDEX(B46:B48,C45)</f>
        <v>Base</v>
      </c>
      <c r="F45" s="30" t="inlineStr">
        <is>
          <t>&lt;- 1 = Base, 2 = Bull, 3 = Bear</t>
        </is>
      </c>
    </row>
    <row r="46">
      <c r="B46" s="26" t="inlineStr">
        <is>
          <t>Base</t>
        </is>
      </c>
      <c r="C46" s="26" t="n">
        <v>1</v>
      </c>
    </row>
    <row r="47">
      <c r="B47" s="26" t="inlineStr">
        <is>
          <t>Bull</t>
        </is>
      </c>
      <c r="C47" s="26" t="n">
        <v>2</v>
      </c>
    </row>
    <row r="48">
      <c r="B48" s="26" t="inlineStr">
        <is>
          <t>Bear</t>
        </is>
      </c>
      <c r="C48" s="26" t="n">
        <v>3</v>
      </c>
    </row>
    <row r="51" ht="15.75" customHeight="1" s="94">
      <c r="B51" s="51" t="inlineStr">
        <is>
          <t>Ratios &amp; Assumptions</t>
        </is>
      </c>
    </row>
    <row r="52">
      <c r="C52" s="25" t="str">
        <f>"Historical — fiscal years ending "&amp;TEXT(FYE,"mmmm d")</f>
        <v>Historical — fiscal years ending June 30</v>
      </c>
      <c r="F52" s="25" t="str">
        <f>"Projected — fiscal years ending "&amp;TEXT(FYE,"mmmm d")</f>
        <v>Projected — fiscal years ending June 30</v>
      </c>
    </row>
    <row r="53">
      <c r="B53" s="52" t="n"/>
      <c r="C53" s="53" t="inlineStr">
        <is>
          <t>FY24PF</t>
        </is>
      </c>
      <c r="D53" s="53" t="inlineStr">
        <is>
          <t>FY25A</t>
        </is>
      </c>
      <c r="E53" s="53" t="inlineStr">
        <is>
          <t>FY26A</t>
        </is>
      </c>
      <c r="F53" s="53" t="inlineStr">
        <is>
          <t>FY27E</t>
        </is>
      </c>
      <c r="G53" s="53" t="inlineStr">
        <is>
          <t>FY28E</t>
        </is>
      </c>
      <c r="H53" s="53" t="inlineStr">
        <is>
          <t>FY29E</t>
        </is>
      </c>
      <c r="I53" s="53" t="inlineStr">
        <is>
          <t>FY30E</t>
        </is>
      </c>
      <c r="J53" s="53" t="inlineStr">
        <is>
          <t>FY31E</t>
        </is>
      </c>
      <c r="K53" s="53" t="inlineStr">
        <is>
          <t>FY32E</t>
        </is>
      </c>
      <c r="L53" s="53" t="inlineStr">
        <is>
          <t>FY33E</t>
        </is>
      </c>
      <c r="M53" s="53" t="inlineStr">
        <is>
          <t>FY34E</t>
        </is>
      </c>
      <c r="N53" s="53" t="inlineStr">
        <is>
          <t>FY35E</t>
        </is>
      </c>
      <c r="O53" s="53" t="inlineStr">
        <is>
          <t>FY36E</t>
        </is>
      </c>
    </row>
    <row r="55">
      <c r="B55" s="32" t="str">
        <f>Inc_Stmt!B8&amp;" revenue growth"</f>
        <v>Custom products revenue growth</v>
      </c>
      <c r="E55" s="116">
        <f>Inc_Stmt!E8/Inc_Stmt!D8-1</f>
        <v>0.6771080257365389</v>
      </c>
      <c r="F55" s="121">
        <f>OFFSET(F55,Scenario,0)</f>
        <v>0.54</v>
      </c>
      <c r="G55" s="121">
        <f>OFFSET(G55,Scenario,0)</f>
        <v>0.25</v>
      </c>
      <c r="H55" s="121">
        <f>OFFSET(H55,Scenario,0)</f>
        <v>0.16</v>
      </c>
      <c r="I55" s="121">
        <f>OFFSET(I55,Scenario,0)</f>
        <v>0.11</v>
      </c>
      <c r="J55" s="121">
        <f>OFFSET(J55,Scenario,0)</f>
        <v>0.08</v>
      </c>
      <c r="K55" s="121">
        <f>OFFSET(K55,Scenario,0)</f>
        <v>0.065</v>
      </c>
      <c r="L55" s="121">
        <f>OFFSET(L55,Scenario,0)</f>
        <v>0.055</v>
      </c>
      <c r="M55" s="121">
        <f>OFFSET(M55,Scenario,0)</f>
        <v>0.045</v>
      </c>
      <c r="N55" s="121">
        <f>OFFSET(N55,Scenario,0)</f>
        <v>0.035</v>
      </c>
      <c r="O55" s="121">
        <f>OFFSET(O55,Scenario,0)</f>
        <v>0.03</v>
      </c>
      <c r="Q55" s="31" t="inlineStr">
        <is>
          <t>Base FY27 total calibrated to guidance midpoint $2.5bn (range $2.4–2.6bn, Q4 FY26 release)</t>
        </is>
      </c>
    </row>
    <row r="56">
      <c r="B56" s="26" t="str">
        <f>$B$46</f>
        <v>Base</v>
      </c>
      <c r="F56" s="114" t="n">
        <v>0.54</v>
      </c>
      <c r="G56" s="114" t="n">
        <v>0.25</v>
      </c>
      <c r="H56" s="114" t="n">
        <v>0.16</v>
      </c>
      <c r="I56" s="114" t="n">
        <v>0.11</v>
      </c>
      <c r="J56" s="114" t="n">
        <v>0.08</v>
      </c>
      <c r="K56" s="114" t="n">
        <v>0.065</v>
      </c>
      <c r="L56" s="114" t="n">
        <v>0.055</v>
      </c>
      <c r="M56" s="114" t="n">
        <v>0.045</v>
      </c>
      <c r="N56" s="114" t="n">
        <v>0.035</v>
      </c>
      <c r="O56" s="114" t="n">
        <v>0.03</v>
      </c>
    </row>
    <row r="57">
      <c r="B57" s="26" t="str">
        <f>$B$47</f>
        <v>Bull</v>
      </c>
      <c r="F57" s="116">
        <f>F56+0.06</f>
        <v>0.6000000000000001</v>
      </c>
      <c r="G57" s="116">
        <f>G56+0.04</f>
        <v>0.29</v>
      </c>
      <c r="H57" s="116">
        <f>H56+0.04</f>
        <v>0.2</v>
      </c>
      <c r="I57" s="116">
        <f>I56+0.04</f>
        <v>0.15</v>
      </c>
      <c r="J57" s="116">
        <f>J56+0.02</f>
        <v>0.1</v>
      </c>
      <c r="K57" s="116">
        <f>K56+0.02</f>
        <v>0.085</v>
      </c>
      <c r="L57" s="116">
        <f>L56+0.02</f>
        <v>0.075</v>
      </c>
      <c r="M57" s="116">
        <f>M56+0.005</f>
        <v>0.049999999999999996</v>
      </c>
      <c r="N57" s="116">
        <f>N56+0.005</f>
        <v>0.04</v>
      </c>
      <c r="O57" s="116">
        <f>O56+0</f>
        <v>0.03</v>
      </c>
    </row>
    <row r="58">
      <c r="B58" s="26" t="str">
        <f>$B$48</f>
        <v>Bear</v>
      </c>
      <c r="F58" s="116">
        <f>F56-0.06</f>
        <v>0.48000000000000004</v>
      </c>
      <c r="G58" s="116">
        <f>G56-0.06</f>
        <v>0.19</v>
      </c>
      <c r="H58" s="116">
        <f>H56-0.06</f>
        <v>0.1</v>
      </c>
      <c r="I58" s="116">
        <f>I56-0.06</f>
        <v>0.05</v>
      </c>
      <c r="J58" s="116">
        <f>J56-0.03</f>
        <v>0.05</v>
      </c>
      <c r="K58" s="116">
        <f>K56-0.03</f>
        <v>0.035</v>
      </c>
      <c r="L58" s="116">
        <f>L56-0.03</f>
        <v>0.025</v>
      </c>
      <c r="M58" s="116">
        <f>M56-0.005</f>
        <v>0.04</v>
      </c>
      <c r="N58" s="116">
        <f>N56-0.005</f>
        <v>0.030000000000000002</v>
      </c>
      <c r="O58" s="116">
        <f>O56+0</f>
        <v>0.03</v>
      </c>
    </row>
    <row r="60">
      <c r="B60" s="32" t="str">
        <f>Inc_Stmt!B9&amp;" revenue growth"</f>
        <v>Powertrain solutions (PTS) revenue growth</v>
      </c>
      <c r="E60" s="116">
        <f>Inc_Stmt!E9/Inc_Stmt!D9-1</f>
        <v>2.5919597989949748</v>
      </c>
      <c r="F60" s="121">
        <f>OFFSET(F60,Scenario,0)</f>
        <v>1.5</v>
      </c>
      <c r="G60" s="121">
        <f>OFFSET(G60,Scenario,0)</f>
        <v>0.42</v>
      </c>
      <c r="H60" s="121">
        <f>OFFSET(H60,Scenario,0)</f>
        <v>0.26</v>
      </c>
      <c r="I60" s="121">
        <f>OFFSET(I60,Scenario,0)</f>
        <v>0.18</v>
      </c>
      <c r="J60" s="121">
        <f>OFFSET(J60,Scenario,0)</f>
        <v>0.125</v>
      </c>
      <c r="K60" s="121">
        <f>OFFSET(K60,Scenario,0)</f>
        <v>0.1</v>
      </c>
      <c r="L60" s="121">
        <f>OFFSET(L60,Scenario,0)</f>
        <v>0.075</v>
      </c>
      <c r="M60" s="121">
        <f>OFFSET(M60,Scenario,0)</f>
        <v>0.055</v>
      </c>
      <c r="N60" s="121">
        <f>OFFSET(N60,Scenario,0)</f>
        <v>0.045</v>
      </c>
      <c r="O60" s="121">
        <f>OFFSET(O60,Scenario,0)</f>
        <v>0.03</v>
      </c>
      <c r="Q60" s="31" t="inlineStr">
        <is>
          <t>PTS +259% in FY26; ~1/3 of Q4 FY26 revenue</t>
        </is>
      </c>
    </row>
    <row r="61">
      <c r="B61" s="26" t="str">
        <f>$B$46</f>
        <v>Base</v>
      </c>
      <c r="F61" s="114" t="n">
        <v>1.5</v>
      </c>
      <c r="G61" s="114" t="n">
        <v>0.42</v>
      </c>
      <c r="H61" s="114" t="n">
        <v>0.26</v>
      </c>
      <c r="I61" s="114" t="n">
        <v>0.18</v>
      </c>
      <c r="J61" s="114" t="n">
        <v>0.125</v>
      </c>
      <c r="K61" s="114" t="n">
        <v>0.1</v>
      </c>
      <c r="L61" s="114" t="n">
        <v>0.075</v>
      </c>
      <c r="M61" s="114" t="n">
        <v>0.055</v>
      </c>
      <c r="N61" s="114" t="n">
        <v>0.045</v>
      </c>
      <c r="O61" s="114" t="n">
        <v>0.03</v>
      </c>
    </row>
    <row r="62">
      <c r="B62" s="26" t="str">
        <f>$B$47</f>
        <v>Bull</v>
      </c>
      <c r="F62" s="116">
        <f>F61+0.06</f>
        <v>1.56</v>
      </c>
      <c r="G62" s="116">
        <f>G61+0.04</f>
        <v>0.45999999999999996</v>
      </c>
      <c r="H62" s="116">
        <f>H61+0.04</f>
        <v>0.3</v>
      </c>
      <c r="I62" s="116">
        <f>I61+0.04</f>
        <v>0.22</v>
      </c>
      <c r="J62" s="116">
        <f>J61+0.02</f>
        <v>0.145</v>
      </c>
      <c r="K62" s="116">
        <f>K61+0.02</f>
        <v>0.12000000000000001</v>
      </c>
      <c r="L62" s="116">
        <f>L61+0.02</f>
        <v>0.095</v>
      </c>
      <c r="M62" s="116">
        <f>M61+0.005</f>
        <v>0.06</v>
      </c>
      <c r="N62" s="116">
        <f>N61+0.005</f>
        <v>0.049999999999999996</v>
      </c>
      <c r="O62" s="116">
        <f>O61+0</f>
        <v>0.03</v>
      </c>
    </row>
    <row r="63">
      <c r="B63" s="26" t="str">
        <f>$B$48</f>
        <v>Bear</v>
      </c>
      <c r="F63" s="116">
        <f>F61-0.06</f>
        <v>1.44</v>
      </c>
      <c r="G63" s="116">
        <f>G61-0.06</f>
        <v>0.36</v>
      </c>
      <c r="H63" s="116">
        <f>H61-0.06</f>
        <v>0.2</v>
      </c>
      <c r="I63" s="116">
        <f>I61-0.06</f>
        <v>0.12</v>
      </c>
      <c r="J63" s="116">
        <f>J61-0.03</f>
        <v>0.095</v>
      </c>
      <c r="K63" s="116">
        <f>K61-0.03</f>
        <v>0.07</v>
      </c>
      <c r="L63" s="116">
        <f>L61-0.03</f>
        <v>0.045</v>
      </c>
      <c r="M63" s="116">
        <f>M61-0.005</f>
        <v>0.05</v>
      </c>
      <c r="N63" s="116">
        <f>N61-0.005</f>
        <v>0.04</v>
      </c>
      <c r="O63" s="116">
        <f>O61+0</f>
        <v>0.03</v>
      </c>
    </row>
    <row r="65">
      <c r="B65" s="32" t="str">
        <f>Inc_Stmt!B10&amp;" revenue growth"</f>
        <v>Standard products revenue growth</v>
      </c>
      <c r="E65" s="116">
        <f>Inc_Stmt!E10/Inc_Stmt!D10-1</f>
        <v>0.2283236994219653</v>
      </c>
      <c r="F65" s="121">
        <f>OFFSET(F65,Scenario,0)</f>
        <v>0.1</v>
      </c>
      <c r="G65" s="121">
        <f>OFFSET(G65,Scenario,0)</f>
        <v>0.08</v>
      </c>
      <c r="H65" s="121">
        <f>OFFSET(H65,Scenario,0)</f>
        <v>0.06</v>
      </c>
      <c r="I65" s="121">
        <f>OFFSET(I65,Scenario,0)</f>
        <v>0.05</v>
      </c>
      <c r="J65" s="121">
        <f>OFFSET(J65,Scenario,0)</f>
        <v>0.04</v>
      </c>
      <c r="K65" s="121">
        <f>OFFSET(K65,Scenario,0)</f>
        <v>0.04</v>
      </c>
      <c r="L65" s="121">
        <f>OFFSET(L65,Scenario,0)</f>
        <v>0.035</v>
      </c>
      <c r="M65" s="121">
        <f>OFFSET(M65,Scenario,0)</f>
        <v>0.03</v>
      </c>
      <c r="N65" s="121">
        <f>OFFSET(N65,Scenario,0)</f>
        <v>0.03</v>
      </c>
      <c r="O65" s="121">
        <f>OFFSET(O65,Scenario,0)</f>
        <v>0.03</v>
      </c>
    </row>
    <row r="66">
      <c r="B66" s="26" t="str">
        <f>$B$46</f>
        <v>Base</v>
      </c>
      <c r="F66" s="114" t="n">
        <v>0.1</v>
      </c>
      <c r="G66" s="114" t="n">
        <v>0.08</v>
      </c>
      <c r="H66" s="114" t="n">
        <v>0.06</v>
      </c>
      <c r="I66" s="114" t="n">
        <v>0.05</v>
      </c>
      <c r="J66" s="114" t="n">
        <v>0.04</v>
      </c>
      <c r="K66" s="114" t="n">
        <v>0.04</v>
      </c>
      <c r="L66" s="114" t="n">
        <v>0.035</v>
      </c>
      <c r="M66" s="114" t="n">
        <v>0.03</v>
      </c>
      <c r="N66" s="114" t="n">
        <v>0.03</v>
      </c>
      <c r="O66" s="114" t="n">
        <v>0.03</v>
      </c>
    </row>
    <row r="67">
      <c r="B67" s="26" t="str">
        <f>$B$47</f>
        <v>Bull</v>
      </c>
      <c r="F67" s="116">
        <f>F66+0.06</f>
        <v>0.16</v>
      </c>
      <c r="G67" s="116">
        <f>G66+0.04</f>
        <v>0.12</v>
      </c>
      <c r="H67" s="116">
        <f>H66+0.04</f>
        <v>0.1</v>
      </c>
      <c r="I67" s="116">
        <f>I66+0.04</f>
        <v>0.09</v>
      </c>
      <c r="J67" s="116">
        <f>J66+0.02</f>
        <v>0.06</v>
      </c>
      <c r="K67" s="116">
        <f>K66+0.02</f>
        <v>0.06</v>
      </c>
      <c r="L67" s="116">
        <f>L66+0.02</f>
        <v>0.05500000000000001</v>
      </c>
      <c r="M67" s="116">
        <f>M66+0.005</f>
        <v>0.034999999999999996</v>
      </c>
      <c r="N67" s="116">
        <f>N66+0.005</f>
        <v>0.034999999999999996</v>
      </c>
      <c r="O67" s="116">
        <f>O66+0</f>
        <v>0.03</v>
      </c>
    </row>
    <row r="68">
      <c r="B68" s="26" t="str">
        <f>$B$48</f>
        <v>Bear</v>
      </c>
      <c r="F68" s="116">
        <f>F66-0.06</f>
        <v>0.04000000000000001</v>
      </c>
      <c r="G68" s="116">
        <f>G66-0.06</f>
        <v>0.020000000000000004</v>
      </c>
      <c r="H68" s="116">
        <f>H66-0.06</f>
        <v>0.0</v>
      </c>
      <c r="I68" s="116">
        <f>I66-0.06</f>
        <v>-0.009999999999999995</v>
      </c>
      <c r="J68" s="116">
        <f>J66-0.03</f>
        <v>0.010000000000000002</v>
      </c>
      <c r="K68" s="116">
        <f>K66-0.03</f>
        <v>0.010000000000000002</v>
      </c>
      <c r="L68" s="116">
        <f>L66-0.03</f>
        <v>0.0050000000000000044</v>
      </c>
      <c r="M68" s="116">
        <f>M66-0.005</f>
        <v>0.024999999999999998</v>
      </c>
      <c r="N68" s="116">
        <f>N66-0.005</f>
        <v>0.024999999999999998</v>
      </c>
      <c r="O68" s="116">
        <f>O66+0</f>
        <v>0.03</v>
      </c>
    </row>
    <row r="70">
      <c r="B70" s="32" t="str">
        <f>Inc_Stmt!B11&amp;" revenue growth"</f>
        <v>Services revenue growth</v>
      </c>
      <c r="E70" s="116">
        <f>Inc_Stmt!E11/Inc_Stmt!D11-1</f>
        <v>0.045774647887323994</v>
      </c>
      <c r="F70" s="121">
        <f>OFFSET(F70,Scenario,0)</f>
        <v>0.2</v>
      </c>
      <c r="G70" s="121">
        <f>OFFSET(G70,Scenario,0)</f>
        <v>0.15</v>
      </c>
      <c r="H70" s="121">
        <f>OFFSET(H70,Scenario,0)</f>
        <v>0.12</v>
      </c>
      <c r="I70" s="121">
        <f>OFFSET(I70,Scenario,0)</f>
        <v>0.1</v>
      </c>
      <c r="J70" s="121">
        <f>OFFSET(J70,Scenario,0)</f>
        <v>0.08</v>
      </c>
      <c r="K70" s="121">
        <f>OFFSET(K70,Scenario,0)</f>
        <v>0.07</v>
      </c>
      <c r="L70" s="121">
        <f>OFFSET(L70,Scenario,0)</f>
        <v>0.06</v>
      </c>
      <c r="M70" s="121">
        <f>OFFSET(M70,Scenario,0)</f>
        <v>0.05</v>
      </c>
      <c r="N70" s="121">
        <f>OFFSET(N70,Scenario,0)</f>
        <v>0.045</v>
      </c>
      <c r="O70" s="121">
        <f>OFFSET(O70,Scenario,0)</f>
        <v>0.03</v>
      </c>
    </row>
    <row r="71">
      <c r="B71" s="26" t="str">
        <f>$B$46</f>
        <v>Base</v>
      </c>
      <c r="F71" s="114" t="n">
        <v>0.2</v>
      </c>
      <c r="G71" s="114" t="n">
        <v>0.15</v>
      </c>
      <c r="H71" s="114" t="n">
        <v>0.12</v>
      </c>
      <c r="I71" s="114" t="n">
        <v>0.1</v>
      </c>
      <c r="J71" s="114" t="n">
        <v>0.08</v>
      </c>
      <c r="K71" s="114" t="n">
        <v>0.07000000000000001</v>
      </c>
      <c r="L71" s="114" t="n">
        <v>0.06</v>
      </c>
      <c r="M71" s="114" t="n">
        <v>0.05</v>
      </c>
      <c r="N71" s="114" t="n">
        <v>0.045</v>
      </c>
      <c r="O71" s="114" t="n">
        <v>0.03</v>
      </c>
    </row>
    <row r="72">
      <c r="B72" s="26" t="str">
        <f>$B$47</f>
        <v>Bull</v>
      </c>
      <c r="F72" s="116">
        <f>F71+0.06</f>
        <v>0.26</v>
      </c>
      <c r="G72" s="116">
        <f>G71+0.04</f>
        <v>0.19</v>
      </c>
      <c r="H72" s="116">
        <f>H71+0.04</f>
        <v>0.16</v>
      </c>
      <c r="I72" s="116">
        <f>I71+0.04</f>
        <v>0.14</v>
      </c>
      <c r="J72" s="116">
        <f>J71+0.02</f>
        <v>0.1</v>
      </c>
      <c r="K72" s="116">
        <f>K71+0.02</f>
        <v>0.09000000000000001</v>
      </c>
      <c r="L72" s="116">
        <f>L71+0.02</f>
        <v>0.08</v>
      </c>
      <c r="M72" s="116">
        <f>M71+0.005</f>
        <v>0.055</v>
      </c>
      <c r="N72" s="116">
        <f>N71+0.005</f>
        <v>0.049999999999999996</v>
      </c>
      <c r="O72" s="116">
        <f>O71+0</f>
        <v>0.03</v>
      </c>
    </row>
    <row r="73">
      <c r="B73" s="26" t="str">
        <f>$B$48</f>
        <v>Bear</v>
      </c>
      <c r="F73" s="116">
        <f>F71-0.06</f>
        <v>0.14</v>
      </c>
      <c r="G73" s="116">
        <f>G71-0.06</f>
        <v>0.09</v>
      </c>
      <c r="H73" s="116">
        <f>H71-0.06</f>
        <v>0.06</v>
      </c>
      <c r="I73" s="116">
        <f>I71-0.06</f>
        <v>0.04000000000000001</v>
      </c>
      <c r="J73" s="116">
        <f>J71-0.03</f>
        <v>0.05</v>
      </c>
      <c r="K73" s="116">
        <f>K71-0.03</f>
        <v>0.04000000000000001</v>
      </c>
      <c r="L73" s="116">
        <f>L71-0.03</f>
        <v>0.03</v>
      </c>
      <c r="M73" s="116">
        <f>M71-0.005</f>
        <v>0.045000000000000005</v>
      </c>
      <c r="N73" s="116">
        <f>N71-0.005</f>
        <v>0.04</v>
      </c>
      <c r="O73" s="116">
        <f>O71+0</f>
        <v>0.03</v>
      </c>
    </row>
    <row r="75">
      <c r="B75" s="32" t="inlineStr">
        <is>
          <t>Gross margin (incl. depreciation in COGS)</t>
        </is>
      </c>
      <c r="C75" s="116">
        <f>Inc_Stmt!C15/Inc_Stmt!C12</f>
        <v>0.3944478972446654</v>
      </c>
      <c r="D75" s="116">
        <f>Inc_Stmt!D15/Inc_Stmt!D12</f>
        <v>0.36918538266674455</v>
      </c>
      <c r="E75" s="116">
        <f>Inc_Stmt!E15/Inc_Stmt!E12</f>
        <v>0.35040797600663076</v>
      </c>
      <c r="F75" s="121">
        <f>OFFSET(F75,Scenario,0)</f>
        <v>0.36</v>
      </c>
      <c r="G75" s="121">
        <f>OFFSET(G75,Scenario,0)</f>
        <v>0.365</v>
      </c>
      <c r="H75" s="121">
        <f>OFFSET(H75,Scenario,0)</f>
        <v>0.368</v>
      </c>
      <c r="I75" s="121">
        <f>OFFSET(I75,Scenario,0)</f>
        <v>0.368</v>
      </c>
      <c r="J75" s="121">
        <f>OFFSET(J75,Scenario,0)</f>
        <v>0.366</v>
      </c>
      <c r="K75" s="121">
        <f>OFFSET(K75,Scenario,0)</f>
        <v>0.362</v>
      </c>
      <c r="L75" s="121">
        <f>OFFSET(L75,Scenario,0)</f>
        <v>0.358</v>
      </c>
      <c r="M75" s="121">
        <f>OFFSET(M75,Scenario,0)</f>
        <v>0.354</v>
      </c>
      <c r="N75" s="121">
        <f>OFFSET(N75,Scenario,0)</f>
        <v>0.35</v>
      </c>
      <c r="O75" s="121">
        <f>OFFSET(O75,Scenario,0)</f>
        <v>0.348</v>
      </c>
      <c r="Q75" s="31" t="inlineStr">
        <is>
          <t>Ramp inefficiencies roll off (1.8–2.0% of rev in Q2–Q3 FY26), then fade as industry capacity arrives</t>
        </is>
      </c>
    </row>
    <row r="76">
      <c r="B76" s="26" t="str">
        <f>$B$46</f>
        <v>Base</v>
      </c>
      <c r="F76" s="114" t="n">
        <v>0.36</v>
      </c>
      <c r="G76" s="114" t="n">
        <v>0.365</v>
      </c>
      <c r="H76" s="114" t="n">
        <v>0.368</v>
      </c>
      <c r="I76" s="114" t="n">
        <v>0.368</v>
      </c>
      <c r="J76" s="114" t="n">
        <v>0.366</v>
      </c>
      <c r="K76" s="114" t="n">
        <v>0.362</v>
      </c>
      <c r="L76" s="114" t="n">
        <v>0.358</v>
      </c>
      <c r="M76" s="114" t="n">
        <v>0.354</v>
      </c>
      <c r="N76" s="114" t="n">
        <v>0.35</v>
      </c>
      <c r="O76" s="114" t="n">
        <v>0.348</v>
      </c>
    </row>
    <row r="77">
      <c r="B77" s="26" t="str">
        <f>$B$47</f>
        <v>Bull</v>
      </c>
      <c r="F77" s="116">
        <f>F76+0.01</f>
        <v>0.37</v>
      </c>
      <c r="G77" s="116">
        <f>G76+0.01</f>
        <v>0.375</v>
      </c>
      <c r="H77" s="116">
        <f>H76+0.01</f>
        <v>0.378</v>
      </c>
      <c r="I77" s="116">
        <f>I76+0.01</f>
        <v>0.378</v>
      </c>
      <c r="J77" s="116">
        <f>J76+0.01</f>
        <v>0.376</v>
      </c>
      <c r="K77" s="116">
        <f>K76+0.01</f>
        <v>0.372</v>
      </c>
      <c r="L77" s="116">
        <f>L76+0.01</f>
        <v>0.368</v>
      </c>
      <c r="M77" s="116">
        <f>M76+0.01</f>
        <v>0.364</v>
      </c>
      <c r="N77" s="116">
        <f>N76+0.01</f>
        <v>0.36</v>
      </c>
      <c r="O77" s="116">
        <f>O76+0.01</f>
        <v>0.358</v>
      </c>
    </row>
    <row r="78">
      <c r="B78" s="26" t="str">
        <f>$B$48</f>
        <v>Bear</v>
      </c>
      <c r="F78" s="116">
        <f>F76-0.02</f>
        <v>0.33999999999999997</v>
      </c>
      <c r="G78" s="116">
        <f>G76-0.02</f>
        <v>0.345</v>
      </c>
      <c r="H78" s="116">
        <f>H76-0.02</f>
        <v>0.348</v>
      </c>
      <c r="I78" s="116">
        <f>I76-0.02</f>
        <v>0.348</v>
      </c>
      <c r="J78" s="116">
        <f>J76-0.02</f>
        <v>0.346</v>
      </c>
      <c r="K78" s="116">
        <f>K76-0.02</f>
        <v>0.34199999999999997</v>
      </c>
      <c r="L78" s="116">
        <f>L76-0.02</f>
        <v>0.33799999999999997</v>
      </c>
      <c r="M78" s="116">
        <f>M76-0.02</f>
        <v>0.33399999999999996</v>
      </c>
      <c r="N78" s="116">
        <f>N76-0.02</f>
        <v>0.32999999999999996</v>
      </c>
      <c r="O78" s="116">
        <f>O76-0.02</f>
        <v>0.32799999999999996</v>
      </c>
    </row>
    <row r="80">
      <c r="B80" s="32" t="inlineStr">
        <is>
          <t>SG&amp;A (% of revenue, incl. SBC)</t>
        </is>
      </c>
      <c r="C80" s="116">
        <f>-Inc_Stmt!C17/Inc_Stmt!C12</f>
        <v>0.20861818935156412</v>
      </c>
      <c r="D80" s="116">
        <f>-Inc_Stmt!D17/Inc_Stmt!D12</f>
        <v>0.1942011821749683</v>
      </c>
      <c r="E80" s="116">
        <f>-Inc_Stmt!E17/Inc_Stmt!E12</f>
        <v>0.18512329417298862</v>
      </c>
      <c r="F80" s="121">
        <f>OFFSET(F80,Scenario,0)</f>
        <v>0.135</v>
      </c>
      <c r="G80" s="121">
        <f>OFFSET(G80,Scenario,0)</f>
        <v>0.124</v>
      </c>
      <c r="H80" s="121">
        <f>OFFSET(H80,Scenario,0)</f>
        <v>0.12</v>
      </c>
      <c r="I80" s="121">
        <f>OFFSET(I80,Scenario,0)</f>
        <v>0.12</v>
      </c>
      <c r="J80" s="121">
        <f>OFFSET(J80,Scenario,0)</f>
        <v>0.12</v>
      </c>
      <c r="K80" s="121">
        <f>OFFSET(K80,Scenario,0)</f>
        <v>0.122</v>
      </c>
      <c r="L80" s="121">
        <f>OFFSET(L80,Scenario,0)</f>
        <v>0.124</v>
      </c>
      <c r="M80" s="121">
        <f>OFFSET(M80,Scenario,0)</f>
        <v>0.126</v>
      </c>
      <c r="N80" s="121">
        <f>OFFSET(N80,Scenario,0)</f>
        <v>0.128</v>
      </c>
      <c r="O80" s="121">
        <f>OFFSET(O80,Scenario,0)</f>
        <v>0.13</v>
      </c>
      <c r="Q80" s="31" t="inlineStr">
        <is>
          <t>FY26 18.5% incl. $64.2m IPO/one-off items (14.0% ex-items); FY27 set so adj. EBITDA ~ guidance midpoint $600m</t>
        </is>
      </c>
    </row>
    <row r="81">
      <c r="B81" s="26" t="str">
        <f>$B$46</f>
        <v>Base</v>
      </c>
      <c r="F81" s="114" t="n">
        <v>0.135</v>
      </c>
      <c r="G81" s="114" t="n">
        <v>0.124</v>
      </c>
      <c r="H81" s="114" t="n">
        <v>0.12</v>
      </c>
      <c r="I81" s="114" t="n">
        <v>0.12</v>
      </c>
      <c r="J81" s="114" t="n">
        <v>0.12</v>
      </c>
      <c r="K81" s="114" t="n">
        <v>0.122</v>
      </c>
      <c r="L81" s="114" t="n">
        <v>0.124</v>
      </c>
      <c r="M81" s="114" t="n">
        <v>0.126</v>
      </c>
      <c r="N81" s="114" t="n">
        <v>0.128</v>
      </c>
      <c r="O81" s="114" t="n">
        <v>0.13</v>
      </c>
    </row>
    <row r="82">
      <c r="B82" s="26" t="str">
        <f>$B$47</f>
        <v>Bull</v>
      </c>
      <c r="F82" s="116">
        <f>F81-0.005</f>
        <v>0.13</v>
      </c>
      <c r="G82" s="116">
        <f>G81-0.005</f>
        <v>0.119</v>
      </c>
      <c r="H82" s="116">
        <f>H81-0.005</f>
        <v>0.11499999999999999</v>
      </c>
      <c r="I82" s="116">
        <f>I81-0.005</f>
        <v>0.11499999999999999</v>
      </c>
      <c r="J82" s="116">
        <f>J81-0.005</f>
        <v>0.11499999999999999</v>
      </c>
      <c r="K82" s="116">
        <f>K81-0.005</f>
        <v>0.11699999999999999</v>
      </c>
      <c r="L82" s="116">
        <f>L81-0.005</f>
        <v>0.119</v>
      </c>
      <c r="M82" s="116">
        <f>M81-0.005</f>
        <v>0.121</v>
      </c>
      <c r="N82" s="116">
        <f>N81-0.005</f>
        <v>0.123</v>
      </c>
      <c r="O82" s="116">
        <f>O81-0.005</f>
        <v>0.125</v>
      </c>
    </row>
    <row r="83">
      <c r="B83" s="26" t="str">
        <f>$B$48</f>
        <v>Bear</v>
      </c>
      <c r="F83" s="116">
        <f>F81+0.01</f>
        <v>0.14500000000000002</v>
      </c>
      <c r="G83" s="116">
        <f>G81+0.01</f>
        <v>0.134</v>
      </c>
      <c r="H83" s="116">
        <f>H81+0.01</f>
        <v>0.13</v>
      </c>
      <c r="I83" s="116">
        <f>I81+0.01</f>
        <v>0.13</v>
      </c>
      <c r="J83" s="116">
        <f>J81+0.01</f>
        <v>0.13</v>
      </c>
      <c r="K83" s="116">
        <f>K81+0.01</f>
        <v>0.132</v>
      </c>
      <c r="L83" s="116">
        <f>L81+0.01</f>
        <v>0.134</v>
      </c>
      <c r="M83" s="116">
        <f>M81+0.01</f>
        <v>0.136</v>
      </c>
      <c r="N83" s="116">
        <f>N81+0.01</f>
        <v>0.138</v>
      </c>
      <c r="O83" s="116">
        <f>O81+0.01</f>
        <v>0.14</v>
      </c>
    </row>
    <row r="85">
      <c r="B85" s="32" t="inlineStr">
        <is>
          <t>Stock-based compensation (% of revenue)</t>
        </is>
      </c>
      <c r="C85" s="116">
        <f>Inc_Stmt!C41/Inc_Stmt!C12</f>
        <v>0.003107520198881293</v>
      </c>
      <c r="D85" s="116">
        <f>Inc_Stmt!D41/Inc_Stmt!D12</f>
        <v>0.002368598543789864</v>
      </c>
      <c r="E85" s="116">
        <f>Inc_Stmt!E41/Inc_Stmt!E12</f>
        <v>0.007067311991966531</v>
      </c>
      <c r="F85" s="121">
        <f>OFFSET(F85,Scenario,0)</f>
        <v>0.008</v>
      </c>
      <c r="G85" s="121">
        <f>OFFSET(G85,Scenario,0)</f>
        <v>0.008</v>
      </c>
      <c r="H85" s="121">
        <f>OFFSET(H85,Scenario,0)</f>
        <v>0.008</v>
      </c>
      <c r="I85" s="121">
        <f>OFFSET(I85,Scenario,0)</f>
        <v>0.008</v>
      </c>
      <c r="J85" s="121">
        <f>OFFSET(J85,Scenario,0)</f>
        <v>0.008</v>
      </c>
      <c r="K85" s="121">
        <f>OFFSET(K85,Scenario,0)</f>
        <v>0.008</v>
      </c>
      <c r="L85" s="121">
        <f>OFFSET(L85,Scenario,0)</f>
        <v>0.008</v>
      </c>
      <c r="M85" s="121">
        <f>OFFSET(M85,Scenario,0)</f>
        <v>0.008</v>
      </c>
      <c r="N85" s="121">
        <f>OFFSET(N85,Scenario,0)</f>
        <v>0.008</v>
      </c>
      <c r="O85" s="121">
        <f>OFFSET(O85,Scenario,0)</f>
        <v>0.008</v>
      </c>
      <c r="Q85" s="31" t="inlineStr">
        <is>
          <t>Non-cash; embedded in SG&amp;A. Treated as a real cost in the DCF (not added back)</t>
        </is>
      </c>
    </row>
    <row r="86">
      <c r="B86" s="26" t="str">
        <f>$B$46</f>
        <v>Base</v>
      </c>
      <c r="F86" s="114" t="n">
        <v>0.008</v>
      </c>
      <c r="G86" s="114" t="n">
        <v>0.008</v>
      </c>
      <c r="H86" s="114" t="n">
        <v>0.008</v>
      </c>
      <c r="I86" s="114" t="n">
        <v>0.008</v>
      </c>
      <c r="J86" s="114" t="n">
        <v>0.008</v>
      </c>
      <c r="K86" s="114" t="n">
        <v>0.008</v>
      </c>
      <c r="L86" s="114" t="n">
        <v>0.008</v>
      </c>
      <c r="M86" s="114" t="n">
        <v>0.008</v>
      </c>
      <c r="N86" s="114" t="n">
        <v>0.008</v>
      </c>
      <c r="O86" s="114" t="n">
        <v>0.008</v>
      </c>
    </row>
    <row r="87">
      <c r="B87" s="26" t="str">
        <f>$B$47</f>
        <v>Bull</v>
      </c>
      <c r="F87" s="116">
        <f>F86+0</f>
        <v>0.008</v>
      </c>
      <c r="G87" s="116">
        <f>G86+0</f>
        <v>0.008</v>
      </c>
      <c r="H87" s="116">
        <f>H86+0</f>
        <v>0.008</v>
      </c>
      <c r="I87" s="116">
        <f>I86+0</f>
        <v>0.008</v>
      </c>
      <c r="J87" s="116">
        <f>J86+0</f>
        <v>0.008</v>
      </c>
      <c r="K87" s="116">
        <f>K86+0</f>
        <v>0.008</v>
      </c>
      <c r="L87" s="116">
        <f>L86+0</f>
        <v>0.008</v>
      </c>
      <c r="M87" s="116">
        <f>M86+0</f>
        <v>0.008</v>
      </c>
      <c r="N87" s="116">
        <f>N86+0</f>
        <v>0.008</v>
      </c>
      <c r="O87" s="116">
        <f>O86+0</f>
        <v>0.008</v>
      </c>
    </row>
    <row r="88">
      <c r="B88" s="26" t="str">
        <f>$B$48</f>
        <v>Bear</v>
      </c>
      <c r="F88" s="116">
        <f>F86+0</f>
        <v>0.008</v>
      </c>
      <c r="G88" s="116">
        <f>G86+0</f>
        <v>0.008</v>
      </c>
      <c r="H88" s="116">
        <f>H86+0</f>
        <v>0.008</v>
      </c>
      <c r="I88" s="116">
        <f>I86+0</f>
        <v>0.008</v>
      </c>
      <c r="J88" s="116">
        <f>J86+0</f>
        <v>0.008</v>
      </c>
      <c r="K88" s="116">
        <f>K86+0</f>
        <v>0.008</v>
      </c>
      <c r="L88" s="116">
        <f>L86+0</f>
        <v>0.008</v>
      </c>
      <c r="M88" s="116">
        <f>M86+0</f>
        <v>0.008</v>
      </c>
      <c r="N88" s="116">
        <f>N86+0</f>
        <v>0.008</v>
      </c>
      <c r="O88" s="116">
        <f>O86+0</f>
        <v>0.008</v>
      </c>
    </row>
    <row r="90">
      <c r="B90" s="32" t="inlineStr">
        <is>
          <t>Depreciation (% of beginning net PP&amp;E)</t>
        </is>
      </c>
      <c r="E90" s="116">
        <f>Inc_Stmt!E37/Bal_Sht!D16</f>
        <v>0.175649440695202</v>
      </c>
      <c r="F90" s="121">
        <f>OFFSET(F90,Scenario,0)</f>
        <v>0.15</v>
      </c>
      <c r="G90" s="121">
        <f>OFFSET(G90,Scenario,0)</f>
        <v>0.15</v>
      </c>
      <c r="H90" s="121">
        <f>OFFSET(H90,Scenario,0)</f>
        <v>0.15</v>
      </c>
      <c r="I90" s="121">
        <f>OFFSET(I90,Scenario,0)</f>
        <v>0.15</v>
      </c>
      <c r="J90" s="121">
        <f>OFFSET(J90,Scenario,0)</f>
        <v>0.15</v>
      </c>
      <c r="K90" s="121">
        <f>OFFSET(K90,Scenario,0)</f>
        <v>0.15</v>
      </c>
      <c r="L90" s="121">
        <f>OFFSET(L90,Scenario,0)</f>
        <v>0.15</v>
      </c>
      <c r="M90" s="121">
        <f>OFFSET(M90,Scenario,0)</f>
        <v>0.15</v>
      </c>
      <c r="N90" s="121">
        <f>OFFSET(N90,Scenario,0)</f>
        <v>0.15</v>
      </c>
      <c r="O90" s="121">
        <f>OFFSET(O90,Scenario,0)</f>
        <v>0.15</v>
      </c>
      <c r="Q90" s="31" t="inlineStr">
        <is>
          <t>FY26: $19.0m on $108.2m opening net PP&amp;E = 17.6% (new plants partial-year)</t>
        </is>
      </c>
    </row>
    <row r="91">
      <c r="B91" s="26" t="str">
        <f>$B$46</f>
        <v>Base</v>
      </c>
      <c r="F91" s="114" t="n">
        <v>0.15</v>
      </c>
      <c r="G91" s="114" t="n">
        <v>0.15</v>
      </c>
      <c r="H91" s="114" t="n">
        <v>0.15</v>
      </c>
      <c r="I91" s="114" t="n">
        <v>0.15</v>
      </c>
      <c r="J91" s="114" t="n">
        <v>0.15</v>
      </c>
      <c r="K91" s="114" t="n">
        <v>0.15</v>
      </c>
      <c r="L91" s="114" t="n">
        <v>0.15</v>
      </c>
      <c r="M91" s="114" t="n">
        <v>0.15</v>
      </c>
      <c r="N91" s="114" t="n">
        <v>0.15</v>
      </c>
      <c r="O91" s="114" t="n">
        <v>0.15</v>
      </c>
    </row>
    <row r="92">
      <c r="B92" s="26" t="str">
        <f>$B$47</f>
        <v>Bull</v>
      </c>
      <c r="F92" s="116">
        <f>F91+0</f>
        <v>0.15</v>
      </c>
      <c r="G92" s="116">
        <f>G91+0</f>
        <v>0.15</v>
      </c>
      <c r="H92" s="116">
        <f>H91+0</f>
        <v>0.15</v>
      </c>
      <c r="I92" s="116">
        <f>I91+0</f>
        <v>0.15</v>
      </c>
      <c r="J92" s="116">
        <f>J91+0</f>
        <v>0.15</v>
      </c>
      <c r="K92" s="116">
        <f>K91+0</f>
        <v>0.15</v>
      </c>
      <c r="L92" s="116">
        <f>L91+0</f>
        <v>0.15</v>
      </c>
      <c r="M92" s="116">
        <f>M91+0</f>
        <v>0.15</v>
      </c>
      <c r="N92" s="116">
        <f>N91+0</f>
        <v>0.15</v>
      </c>
      <c r="O92" s="116">
        <f>O91+0</f>
        <v>0.15</v>
      </c>
    </row>
    <row r="93">
      <c r="B93" s="26" t="str">
        <f>$B$48</f>
        <v>Bear</v>
      </c>
      <c r="F93" s="116">
        <f>F91+0</f>
        <v>0.15</v>
      </c>
      <c r="G93" s="116">
        <f>G91+0</f>
        <v>0.15</v>
      </c>
      <c r="H93" s="116">
        <f>H91+0</f>
        <v>0.15</v>
      </c>
      <c r="I93" s="116">
        <f>I91+0</f>
        <v>0.15</v>
      </c>
      <c r="J93" s="116">
        <f>J91+0</f>
        <v>0.15</v>
      </c>
      <c r="K93" s="116">
        <f>K91+0</f>
        <v>0.15</v>
      </c>
      <c r="L93" s="116">
        <f>L91+0</f>
        <v>0.15</v>
      </c>
      <c r="M93" s="116">
        <f>M91+0</f>
        <v>0.15</v>
      </c>
      <c r="N93" s="116">
        <f>N91+0</f>
        <v>0.15</v>
      </c>
      <c r="O93" s="116">
        <f>O91+0</f>
        <v>0.15</v>
      </c>
    </row>
    <row r="95">
      <c r="B95" s="32" t="inlineStr">
        <is>
          <t>Maintenance capex (% of revenue)</t>
        </is>
      </c>
      <c r="D95" s="116">
        <f>-Inc_Stmt!D44/Inc_Stmt!D12</f>
        <v>0.11167862472583205</v>
      </c>
      <c r="E95" s="116">
        <f>-Inc_Stmt!E44/Inc_Stmt!E12</f>
        <v>0.08161984818940622</v>
      </c>
      <c r="F95" s="121">
        <f>OFFSET(F95,Scenario,0)</f>
        <v>0.01</v>
      </c>
      <c r="G95" s="121">
        <f>OFFSET(G95,Scenario,0)</f>
        <v>0.012</v>
      </c>
      <c r="H95" s="121">
        <f>OFFSET(H95,Scenario,0)</f>
        <v>0.013</v>
      </c>
      <c r="I95" s="121">
        <f>OFFSET(I95,Scenario,0)</f>
        <v>0.014</v>
      </c>
      <c r="J95" s="121">
        <f>OFFSET(J95,Scenario,0)</f>
        <v>0.015</v>
      </c>
      <c r="K95" s="121">
        <f>OFFSET(K95,Scenario,0)</f>
        <v>0.015</v>
      </c>
      <c r="L95" s="121">
        <f>OFFSET(L95,Scenario,0)</f>
        <v>0.015</v>
      </c>
      <c r="M95" s="121">
        <f>OFFSET(M95,Scenario,0)</f>
        <v>0.015</v>
      </c>
      <c r="N95" s="121">
        <f>OFFSET(N95,Scenario,0)</f>
        <v>0.015</v>
      </c>
      <c r="O95" s="121">
        <f>OFFSET(O95,Scenario,0)</f>
        <v>0.015</v>
      </c>
      <c r="Q95" s="31" t="inlineStr">
        <is>
          <t>Mgmt: maintenance ~1% of revenue (Q4 FY26 release); stepped to 1.5% so capex converges toward D&amp;A. Hist = total capex</t>
        </is>
      </c>
    </row>
    <row r="96">
      <c r="B96" s="26" t="str">
        <f>$B$46</f>
        <v>Base</v>
      </c>
      <c r="F96" s="114" t="n">
        <v>0.01</v>
      </c>
      <c r="G96" s="114" t="n">
        <v>0.012</v>
      </c>
      <c r="H96" s="114" t="n">
        <v>0.013</v>
      </c>
      <c r="I96" s="114" t="n">
        <v>0.014</v>
      </c>
      <c r="J96" s="114" t="n">
        <v>0.015</v>
      </c>
      <c r="K96" s="114" t="n">
        <v>0.015</v>
      </c>
      <c r="L96" s="114" t="n">
        <v>0.015</v>
      </c>
      <c r="M96" s="114" t="n">
        <v>0.015</v>
      </c>
      <c r="N96" s="114" t="n">
        <v>0.015</v>
      </c>
      <c r="O96" s="114" t="n">
        <v>0.015</v>
      </c>
    </row>
    <row r="97">
      <c r="B97" s="26" t="str">
        <f>$B$47</f>
        <v>Bull</v>
      </c>
      <c r="F97" s="116">
        <f>F96+0</f>
        <v>0.01</v>
      </c>
      <c r="G97" s="116">
        <f>G96+0</f>
        <v>0.012</v>
      </c>
      <c r="H97" s="116">
        <f>H96+0</f>
        <v>0.013</v>
      </c>
      <c r="I97" s="116">
        <f>I96+0</f>
        <v>0.014</v>
      </c>
      <c r="J97" s="116">
        <f>J96+0</f>
        <v>0.015</v>
      </c>
      <c r="K97" s="116">
        <f>K96+0</f>
        <v>0.015</v>
      </c>
      <c r="L97" s="116">
        <f>L96+0</f>
        <v>0.015</v>
      </c>
      <c r="M97" s="116">
        <f>M96+0</f>
        <v>0.015</v>
      </c>
      <c r="N97" s="116">
        <f>N96+0</f>
        <v>0.015</v>
      </c>
      <c r="O97" s="116">
        <f>O96+0</f>
        <v>0.015</v>
      </c>
    </row>
    <row r="98">
      <c r="B98" s="26" t="str">
        <f>$B$48</f>
        <v>Bear</v>
      </c>
      <c r="F98" s="116">
        <f>F96+0</f>
        <v>0.01</v>
      </c>
      <c r="G98" s="116">
        <f>G96+0</f>
        <v>0.012</v>
      </c>
      <c r="H98" s="116">
        <f>H96+0</f>
        <v>0.013</v>
      </c>
      <c r="I98" s="116">
        <f>I96+0</f>
        <v>0.014</v>
      </c>
      <c r="J98" s="116">
        <f>J96+0</f>
        <v>0.015</v>
      </c>
      <c r="K98" s="116">
        <f>K96+0</f>
        <v>0.015</v>
      </c>
      <c r="L98" s="116">
        <f>L96+0</f>
        <v>0.015</v>
      </c>
      <c r="M98" s="116">
        <f>M96+0</f>
        <v>0.015</v>
      </c>
      <c r="N98" s="116">
        <f>N96+0</f>
        <v>0.015</v>
      </c>
      <c r="O98" s="116">
        <f>O96+0</f>
        <v>0.015</v>
      </c>
    </row>
    <row r="100">
      <c r="B100" s="32" t="inlineStr">
        <is>
          <t>Committed expansion capex ($MM)</t>
        </is>
      </c>
      <c r="F100" s="122">
        <f>OFFSET(F100,Scenario,0)</f>
        <v>62.0</v>
      </c>
      <c r="G100" s="122">
        <f>OFFSET(G100,Scenario,0)</f>
        <v>0.0</v>
      </c>
      <c r="H100" s="122">
        <f>OFFSET(H100,Scenario,0)</f>
        <v>0.0</v>
      </c>
      <c r="I100" s="122">
        <f>OFFSET(I100,Scenario,0)</f>
        <v>0.0</v>
      </c>
      <c r="J100" s="122">
        <f>OFFSET(J100,Scenario,0)</f>
        <v>0.0</v>
      </c>
      <c r="K100" s="122">
        <f>OFFSET(K100,Scenario,0)</f>
        <v>0.0</v>
      </c>
      <c r="L100" s="122">
        <f>OFFSET(L100,Scenario,0)</f>
        <v>0.0</v>
      </c>
      <c r="M100" s="122">
        <f>OFFSET(M100,Scenario,0)</f>
        <v>0.0</v>
      </c>
      <c r="N100" s="122">
        <f>OFFSET(N100,Scenario,0)</f>
        <v>0.0</v>
      </c>
      <c r="O100" s="122">
        <f>OFFSET(O100,Scenario,0)</f>
        <v>0.0</v>
      </c>
      <c r="Q100" s="31" t="inlineStr">
        <is>
          <t>FY27 capex guide ~$87m less 1% maintenance (~$25m) = $62m (remaining 2025–26 program + $35m PTS Tijuana)</t>
        </is>
      </c>
    </row>
    <row r="101">
      <c r="B101" s="26" t="str">
        <f>$B$46</f>
        <v>Base</v>
      </c>
      <c r="F101" s="115" t="n">
        <v>62</v>
      </c>
      <c r="G101" s="115" t="n">
        <v>0</v>
      </c>
      <c r="H101" s="115" t="n">
        <v>0</v>
      </c>
      <c r="I101" s="115" t="n">
        <v>0</v>
      </c>
      <c r="J101" s="115" t="n">
        <v>0</v>
      </c>
      <c r="K101" s="115" t="n">
        <v>0</v>
      </c>
      <c r="L101" s="115" t="n">
        <v>0</v>
      </c>
      <c r="M101" s="115" t="n">
        <v>0</v>
      </c>
      <c r="N101" s="115" t="n">
        <v>0</v>
      </c>
      <c r="O101" s="115" t="n">
        <v>0</v>
      </c>
    </row>
    <row r="102">
      <c r="B102" s="26" t="str">
        <f>$B$47</f>
        <v>Bull</v>
      </c>
      <c r="F102" s="113">
        <f>F101+0</f>
        <v>62.0</v>
      </c>
      <c r="G102" s="113">
        <f>G101+0</f>
        <v>0.0</v>
      </c>
      <c r="H102" s="113">
        <f>H101+0</f>
        <v>0.0</v>
      </c>
      <c r="I102" s="113">
        <f>I101+0</f>
        <v>0.0</v>
      </c>
      <c r="J102" s="113">
        <f>J101+0</f>
        <v>0.0</v>
      </c>
      <c r="K102" s="113">
        <f>K101+0</f>
        <v>0.0</v>
      </c>
      <c r="L102" s="113">
        <f>L101+0</f>
        <v>0.0</v>
      </c>
      <c r="M102" s="113">
        <f>M101+0</f>
        <v>0.0</v>
      </c>
      <c r="N102" s="113">
        <f>N101+0</f>
        <v>0.0</v>
      </c>
      <c r="O102" s="113">
        <f>O101+0</f>
        <v>0.0</v>
      </c>
    </row>
    <row r="103">
      <c r="B103" s="26" t="str">
        <f>$B$48</f>
        <v>Bear</v>
      </c>
      <c r="F103" s="113">
        <f>F101+0</f>
        <v>62.0</v>
      </c>
      <c r="G103" s="113">
        <f>G101+0</f>
        <v>0.0</v>
      </c>
      <c r="H103" s="113">
        <f>H101+0</f>
        <v>0.0</v>
      </c>
      <c r="I103" s="113">
        <f>I101+0</f>
        <v>0.0</v>
      </c>
      <c r="J103" s="113">
        <f>J101+0</f>
        <v>0.0</v>
      </c>
      <c r="K103" s="113">
        <f>K101+0</f>
        <v>0.0</v>
      </c>
      <c r="L103" s="113">
        <f>L101+0</f>
        <v>0.0</v>
      </c>
      <c r="M103" s="113">
        <f>M101+0</f>
        <v>0.0</v>
      </c>
      <c r="N103" s="113">
        <f>N101+0</f>
        <v>0.0</v>
      </c>
      <c r="O103" s="113">
        <f>O101+0</f>
        <v>0.0</v>
      </c>
    </row>
    <row r="105">
      <c r="B105" s="32" t="inlineStr">
        <is>
          <t>Days sales outstanding (A/R, 365-day)</t>
        </is>
      </c>
      <c r="D105" s="123">
        <f>Bal_Sht!D8/Inc_Stmt!D12*365</f>
        <v>77.52254417223854</v>
      </c>
      <c r="E105" s="123">
        <f>Bal_Sht!E8/Inc_Stmt!E12*365</f>
        <v>84.72480368773411</v>
      </c>
      <c r="F105" s="124">
        <f>OFFSET(F105,Scenario,0)</f>
        <v>85.0</v>
      </c>
      <c r="G105" s="124">
        <f>OFFSET(G105,Scenario,0)</f>
        <v>85.0</v>
      </c>
      <c r="H105" s="124">
        <f>OFFSET(H105,Scenario,0)</f>
        <v>85.0</v>
      </c>
      <c r="I105" s="124">
        <f>OFFSET(I105,Scenario,0)</f>
        <v>85.0</v>
      </c>
      <c r="J105" s="124">
        <f>OFFSET(J105,Scenario,0)</f>
        <v>85.0</v>
      </c>
      <c r="K105" s="124">
        <f>OFFSET(K105,Scenario,0)</f>
        <v>85.0</v>
      </c>
      <c r="L105" s="124">
        <f>OFFSET(L105,Scenario,0)</f>
        <v>85.0</v>
      </c>
      <c r="M105" s="124">
        <f>OFFSET(M105,Scenario,0)</f>
        <v>85.0</v>
      </c>
      <c r="N105" s="124">
        <f>OFFSET(N105,Scenario,0)</f>
        <v>85.0</v>
      </c>
      <c r="O105" s="124">
        <f>OFFSET(O105,Scenario,0)</f>
        <v>85.0</v>
      </c>
    </row>
    <row r="106">
      <c r="B106" s="26" t="str">
        <f>$B$46</f>
        <v>Base</v>
      </c>
      <c r="F106" s="125" t="n">
        <v>85</v>
      </c>
      <c r="G106" s="125" t="n">
        <v>85</v>
      </c>
      <c r="H106" s="125" t="n">
        <v>85</v>
      </c>
      <c r="I106" s="125" t="n">
        <v>85</v>
      </c>
      <c r="J106" s="125" t="n">
        <v>85</v>
      </c>
      <c r="K106" s="125" t="n">
        <v>85</v>
      </c>
      <c r="L106" s="125" t="n">
        <v>85</v>
      </c>
      <c r="M106" s="125" t="n">
        <v>85</v>
      </c>
      <c r="N106" s="125" t="n">
        <v>85</v>
      </c>
      <c r="O106" s="125" t="n">
        <v>85</v>
      </c>
    </row>
    <row r="107">
      <c r="B107" s="26" t="str">
        <f>$B$47</f>
        <v>Bull</v>
      </c>
      <c r="F107" s="125" t="n">
        <v>80</v>
      </c>
      <c r="G107" s="125" t="n">
        <v>80</v>
      </c>
      <c r="H107" s="125" t="n">
        <v>80</v>
      </c>
      <c r="I107" s="125" t="n">
        <v>80</v>
      </c>
      <c r="J107" s="125" t="n">
        <v>80</v>
      </c>
      <c r="K107" s="125" t="n">
        <v>80</v>
      </c>
      <c r="L107" s="125" t="n">
        <v>80</v>
      </c>
      <c r="M107" s="125" t="n">
        <v>80</v>
      </c>
      <c r="N107" s="125" t="n">
        <v>80</v>
      </c>
      <c r="O107" s="125" t="n">
        <v>80</v>
      </c>
    </row>
    <row r="108">
      <c r="B108" s="26" t="str">
        <f>$B$48</f>
        <v>Bear</v>
      </c>
      <c r="F108" s="125" t="n">
        <v>90</v>
      </c>
      <c r="G108" s="125" t="n">
        <v>90</v>
      </c>
      <c r="H108" s="125" t="n">
        <v>90</v>
      </c>
      <c r="I108" s="125" t="n">
        <v>90</v>
      </c>
      <c r="J108" s="125" t="n">
        <v>90</v>
      </c>
      <c r="K108" s="125" t="n">
        <v>90</v>
      </c>
      <c r="L108" s="125" t="n">
        <v>90</v>
      </c>
      <c r="M108" s="125" t="n">
        <v>90</v>
      </c>
      <c r="N108" s="125" t="n">
        <v>90</v>
      </c>
      <c r="O108" s="125" t="n">
        <v>90</v>
      </c>
    </row>
    <row r="110">
      <c r="B110" s="32" t="inlineStr">
        <is>
          <t>Days inventory outstanding (on COGS)</t>
        </is>
      </c>
      <c r="D110" s="123">
        <f>Bal_Sht!D9/-Inc_Stmt!D14*365</f>
        <v>90.32544272839397</v>
      </c>
      <c r="E110" s="123">
        <f>Bal_Sht!E9/-Inc_Stmt!E14*365</f>
        <v>98.84797589919987</v>
      </c>
      <c r="F110" s="124">
        <f>OFFSET(F110,Scenario,0)</f>
        <v>99.0</v>
      </c>
      <c r="G110" s="124">
        <f>OFFSET(G110,Scenario,0)</f>
        <v>99.0</v>
      </c>
      <c r="H110" s="124">
        <f>OFFSET(H110,Scenario,0)</f>
        <v>99.0</v>
      </c>
      <c r="I110" s="124">
        <f>OFFSET(I110,Scenario,0)</f>
        <v>99.0</v>
      </c>
      <c r="J110" s="124">
        <f>OFFSET(J110,Scenario,0)</f>
        <v>99.0</v>
      </c>
      <c r="K110" s="124">
        <f>OFFSET(K110,Scenario,0)</f>
        <v>99.0</v>
      </c>
      <c r="L110" s="124">
        <f>OFFSET(L110,Scenario,0)</f>
        <v>99.0</v>
      </c>
      <c r="M110" s="124">
        <f>OFFSET(M110,Scenario,0)</f>
        <v>99.0</v>
      </c>
      <c r="N110" s="124">
        <f>OFFSET(N110,Scenario,0)</f>
        <v>99.0</v>
      </c>
      <c r="O110" s="124">
        <f>OFFSET(O110,Scenario,0)</f>
        <v>99.0</v>
      </c>
    </row>
    <row r="111">
      <c r="B111" s="26" t="str">
        <f>$B$46</f>
        <v>Base</v>
      </c>
      <c r="F111" s="125" t="n">
        <v>99</v>
      </c>
      <c r="G111" s="125" t="n">
        <v>99</v>
      </c>
      <c r="H111" s="125" t="n">
        <v>99</v>
      </c>
      <c r="I111" s="125" t="n">
        <v>99</v>
      </c>
      <c r="J111" s="125" t="n">
        <v>99</v>
      </c>
      <c r="K111" s="125" t="n">
        <v>99</v>
      </c>
      <c r="L111" s="125" t="n">
        <v>99</v>
      </c>
      <c r="M111" s="125" t="n">
        <v>99</v>
      </c>
      <c r="N111" s="125" t="n">
        <v>99</v>
      </c>
      <c r="O111" s="125" t="n">
        <v>99</v>
      </c>
    </row>
    <row r="112">
      <c r="B112" s="26" t="str">
        <f>$B$47</f>
        <v>Bull</v>
      </c>
      <c r="F112" s="125" t="n">
        <v>92</v>
      </c>
      <c r="G112" s="125" t="n">
        <v>92</v>
      </c>
      <c r="H112" s="125" t="n">
        <v>92</v>
      </c>
      <c r="I112" s="125" t="n">
        <v>92</v>
      </c>
      <c r="J112" s="125" t="n">
        <v>92</v>
      </c>
      <c r="K112" s="125" t="n">
        <v>92</v>
      </c>
      <c r="L112" s="125" t="n">
        <v>92</v>
      </c>
      <c r="M112" s="125" t="n">
        <v>92</v>
      </c>
      <c r="N112" s="125" t="n">
        <v>92</v>
      </c>
      <c r="O112" s="125" t="n">
        <v>92</v>
      </c>
    </row>
    <row r="113">
      <c r="B113" s="26" t="str">
        <f>$B$48</f>
        <v>Bear</v>
      </c>
      <c r="F113" s="125" t="n">
        <v>110</v>
      </c>
      <c r="G113" s="125" t="n">
        <v>110</v>
      </c>
      <c r="H113" s="125" t="n">
        <v>110</v>
      </c>
      <c r="I113" s="125" t="n">
        <v>110</v>
      </c>
      <c r="J113" s="125" t="n">
        <v>110</v>
      </c>
      <c r="K113" s="125" t="n">
        <v>110</v>
      </c>
      <c r="L113" s="125" t="n">
        <v>110</v>
      </c>
      <c r="M113" s="125" t="n">
        <v>110</v>
      </c>
      <c r="N113" s="125" t="n">
        <v>110</v>
      </c>
      <c r="O113" s="125" t="n">
        <v>110</v>
      </c>
    </row>
    <row r="115">
      <c r="B115" s="32" t="inlineStr">
        <is>
          <t>Days payable outstanding (on COGS)</t>
        </is>
      </c>
      <c r="D115" s="123">
        <f>Bal_Sht!D25/-Inc_Stmt!D14*365</f>
        <v>47.586083153379555</v>
      </c>
      <c r="E115" s="123">
        <f>Bal_Sht!E25/-Inc_Stmt!E14*365</f>
        <v>51.617844261913</v>
      </c>
      <c r="F115" s="124">
        <f>OFFSET(F115,Scenario,0)</f>
        <v>52.0</v>
      </c>
      <c r="G115" s="124">
        <f>OFFSET(G115,Scenario,0)</f>
        <v>52.0</v>
      </c>
      <c r="H115" s="124">
        <f>OFFSET(H115,Scenario,0)</f>
        <v>52.0</v>
      </c>
      <c r="I115" s="124">
        <f>OFFSET(I115,Scenario,0)</f>
        <v>52.0</v>
      </c>
      <c r="J115" s="124">
        <f>OFFSET(J115,Scenario,0)</f>
        <v>52.0</v>
      </c>
      <c r="K115" s="124">
        <f>OFFSET(K115,Scenario,0)</f>
        <v>52.0</v>
      </c>
      <c r="L115" s="124">
        <f>OFFSET(L115,Scenario,0)</f>
        <v>52.0</v>
      </c>
      <c r="M115" s="124">
        <f>OFFSET(M115,Scenario,0)</f>
        <v>52.0</v>
      </c>
      <c r="N115" s="124">
        <f>OFFSET(N115,Scenario,0)</f>
        <v>52.0</v>
      </c>
      <c r="O115" s="124">
        <f>OFFSET(O115,Scenario,0)</f>
        <v>52.0</v>
      </c>
    </row>
    <row r="116">
      <c r="B116" s="26" t="str">
        <f>$B$46</f>
        <v>Base</v>
      </c>
      <c r="F116" s="125" t="n">
        <v>52</v>
      </c>
      <c r="G116" s="125" t="n">
        <v>52</v>
      </c>
      <c r="H116" s="125" t="n">
        <v>52</v>
      </c>
      <c r="I116" s="125" t="n">
        <v>52</v>
      </c>
      <c r="J116" s="125" t="n">
        <v>52</v>
      </c>
      <c r="K116" s="125" t="n">
        <v>52</v>
      </c>
      <c r="L116" s="125" t="n">
        <v>52</v>
      </c>
      <c r="M116" s="125" t="n">
        <v>52</v>
      </c>
      <c r="N116" s="125" t="n">
        <v>52</v>
      </c>
      <c r="O116" s="125" t="n">
        <v>52</v>
      </c>
    </row>
    <row r="117">
      <c r="B117" s="26" t="str">
        <f>$B$47</f>
        <v>Bull</v>
      </c>
      <c r="F117" s="125" t="n">
        <v>55</v>
      </c>
      <c r="G117" s="125" t="n">
        <v>55</v>
      </c>
      <c r="H117" s="125" t="n">
        <v>55</v>
      </c>
      <c r="I117" s="125" t="n">
        <v>55</v>
      </c>
      <c r="J117" s="125" t="n">
        <v>55</v>
      </c>
      <c r="K117" s="125" t="n">
        <v>55</v>
      </c>
      <c r="L117" s="125" t="n">
        <v>55</v>
      </c>
      <c r="M117" s="125" t="n">
        <v>55</v>
      </c>
      <c r="N117" s="125" t="n">
        <v>55</v>
      </c>
      <c r="O117" s="125" t="n">
        <v>55</v>
      </c>
    </row>
    <row r="118">
      <c r="B118" s="26" t="str">
        <f>$B$48</f>
        <v>Bear</v>
      </c>
      <c r="F118" s="125" t="n">
        <v>48</v>
      </c>
      <c r="G118" s="125" t="n">
        <v>48</v>
      </c>
      <c r="H118" s="125" t="n">
        <v>48</v>
      </c>
      <c r="I118" s="125" t="n">
        <v>48</v>
      </c>
      <c r="J118" s="125" t="n">
        <v>48</v>
      </c>
      <c r="K118" s="125" t="n">
        <v>48</v>
      </c>
      <c r="L118" s="125" t="n">
        <v>48</v>
      </c>
      <c r="M118" s="125" t="n">
        <v>48</v>
      </c>
      <c r="N118" s="125" t="n">
        <v>48</v>
      </c>
      <c r="O118" s="125" t="n">
        <v>48</v>
      </c>
    </row>
    <row r="120">
      <c r="B120" s="32" t="inlineStr">
        <is>
          <t>Prepaid &amp; other current, ex restricted cash (% of revenue)</t>
        </is>
      </c>
      <c r="D120" s="116">
        <f>Bal_Sht!D10/Inc_Stmt!D12</f>
        <v>0.07471972469024998</v>
      </c>
      <c r="E120" s="116">
        <f>Bal_Sht!E10/Inc_Stmt!E12</f>
        <v>0.08234376177327844</v>
      </c>
      <c r="F120" s="121">
        <f>OFFSET(F120,Scenario,0)</f>
        <v>0.082</v>
      </c>
      <c r="G120" s="121">
        <f>OFFSET(G120,Scenario,0)</f>
        <v>0.082</v>
      </c>
      <c r="H120" s="121">
        <f>OFFSET(H120,Scenario,0)</f>
        <v>0.082</v>
      </c>
      <c r="I120" s="121">
        <f>OFFSET(I120,Scenario,0)</f>
        <v>0.082</v>
      </c>
      <c r="J120" s="121">
        <f>OFFSET(J120,Scenario,0)</f>
        <v>0.082</v>
      </c>
      <c r="K120" s="121">
        <f>OFFSET(K120,Scenario,0)</f>
        <v>0.082</v>
      </c>
      <c r="L120" s="121">
        <f>OFFSET(L120,Scenario,0)</f>
        <v>0.082</v>
      </c>
      <c r="M120" s="121">
        <f>OFFSET(M120,Scenario,0)</f>
        <v>0.082</v>
      </c>
      <c r="N120" s="121">
        <f>OFFSET(N120,Scenario,0)</f>
        <v>0.082</v>
      </c>
      <c r="O120" s="121">
        <f>OFFSET(O120,Scenario,0)</f>
        <v>0.082</v>
      </c>
      <c r="Q120" s="31" t="inlineStr">
        <is>
          <t>Mostly vendor deposits ($63.0m) — scales with purchasing</t>
        </is>
      </c>
    </row>
    <row r="121">
      <c r="B121" s="26" t="str">
        <f>$B$46</f>
        <v>Base</v>
      </c>
      <c r="F121" s="114" t="n">
        <v>0.082</v>
      </c>
      <c r="G121" s="114" t="n">
        <v>0.082</v>
      </c>
      <c r="H121" s="114" t="n">
        <v>0.082</v>
      </c>
      <c r="I121" s="114" t="n">
        <v>0.082</v>
      </c>
      <c r="J121" s="114" t="n">
        <v>0.082</v>
      </c>
      <c r="K121" s="114" t="n">
        <v>0.082</v>
      </c>
      <c r="L121" s="114" t="n">
        <v>0.082</v>
      </c>
      <c r="M121" s="114" t="n">
        <v>0.082</v>
      </c>
      <c r="N121" s="114" t="n">
        <v>0.082</v>
      </c>
      <c r="O121" s="114" t="n">
        <v>0.082</v>
      </c>
    </row>
    <row r="122">
      <c r="B122" s="26" t="str">
        <f>$B$47</f>
        <v>Bull</v>
      </c>
      <c r="F122" s="114" t="n">
        <v>0.075</v>
      </c>
      <c r="G122" s="114" t="n">
        <v>0.075</v>
      </c>
      <c r="H122" s="114" t="n">
        <v>0.075</v>
      </c>
      <c r="I122" s="114" t="n">
        <v>0.075</v>
      </c>
      <c r="J122" s="114" t="n">
        <v>0.075</v>
      </c>
      <c r="K122" s="114" t="n">
        <v>0.075</v>
      </c>
      <c r="L122" s="114" t="n">
        <v>0.075</v>
      </c>
      <c r="M122" s="114" t="n">
        <v>0.075</v>
      </c>
      <c r="N122" s="114" t="n">
        <v>0.075</v>
      </c>
      <c r="O122" s="114" t="n">
        <v>0.075</v>
      </c>
    </row>
    <row r="123">
      <c r="B123" s="26" t="str">
        <f>$B$48</f>
        <v>Bear</v>
      </c>
      <c r="F123" s="114" t="n">
        <v>0.09</v>
      </c>
      <c r="G123" s="114" t="n">
        <v>0.09</v>
      </c>
      <c r="H123" s="114" t="n">
        <v>0.09</v>
      </c>
      <c r="I123" s="114" t="n">
        <v>0.09</v>
      </c>
      <c r="J123" s="114" t="n">
        <v>0.09</v>
      </c>
      <c r="K123" s="114" t="n">
        <v>0.09</v>
      </c>
      <c r="L123" s="114" t="n">
        <v>0.09</v>
      </c>
      <c r="M123" s="114" t="n">
        <v>0.09</v>
      </c>
      <c r="N123" s="114" t="n">
        <v>0.09</v>
      </c>
      <c r="O123" s="114" t="n">
        <v>0.09</v>
      </c>
    </row>
    <row r="125">
      <c r="B125" s="32" t="inlineStr">
        <is>
          <t>Accrued expenses (% of revenue)</t>
        </is>
      </c>
      <c r="D125" s="116">
        <f>Bal_Sht!D26/Inc_Stmt!D12</f>
        <v>0.10560577173295378</v>
      </c>
      <c r="E125" s="116">
        <f>Bal_Sht!E26/Inc_Stmt!E12</f>
        <v>0.08616261718703237</v>
      </c>
      <c r="F125" s="121">
        <f>OFFSET(F125,Scenario,0)</f>
        <v>0.085</v>
      </c>
      <c r="G125" s="121">
        <f>OFFSET(G125,Scenario,0)</f>
        <v>0.085</v>
      </c>
      <c r="H125" s="121">
        <f>OFFSET(H125,Scenario,0)</f>
        <v>0.085</v>
      </c>
      <c r="I125" s="121">
        <f>OFFSET(I125,Scenario,0)</f>
        <v>0.085</v>
      </c>
      <c r="J125" s="121">
        <f>OFFSET(J125,Scenario,0)</f>
        <v>0.085</v>
      </c>
      <c r="K125" s="121">
        <f>OFFSET(K125,Scenario,0)</f>
        <v>0.085</v>
      </c>
      <c r="L125" s="121">
        <f>OFFSET(L125,Scenario,0)</f>
        <v>0.085</v>
      </c>
      <c r="M125" s="121">
        <f>OFFSET(M125,Scenario,0)</f>
        <v>0.085</v>
      </c>
      <c r="N125" s="121">
        <f>OFFSET(N125,Scenario,0)</f>
        <v>0.085</v>
      </c>
      <c r="O125" s="121">
        <f>OFFSET(O125,Scenario,0)</f>
        <v>0.085</v>
      </c>
    </row>
    <row r="126">
      <c r="B126" s="26" t="str">
        <f>$B$46</f>
        <v>Base</v>
      </c>
      <c r="F126" s="114" t="n">
        <v>0.08500000000000001</v>
      </c>
      <c r="G126" s="114" t="n">
        <v>0.08500000000000001</v>
      </c>
      <c r="H126" s="114" t="n">
        <v>0.08500000000000001</v>
      </c>
      <c r="I126" s="114" t="n">
        <v>0.08500000000000001</v>
      </c>
      <c r="J126" s="114" t="n">
        <v>0.08500000000000001</v>
      </c>
      <c r="K126" s="114" t="n">
        <v>0.08500000000000001</v>
      </c>
      <c r="L126" s="114" t="n">
        <v>0.08500000000000001</v>
      </c>
      <c r="M126" s="114" t="n">
        <v>0.08500000000000001</v>
      </c>
      <c r="N126" s="114" t="n">
        <v>0.08500000000000001</v>
      </c>
      <c r="O126" s="114" t="n">
        <v>0.08500000000000001</v>
      </c>
    </row>
    <row r="127">
      <c r="B127" s="26" t="str">
        <f>$B$47</f>
        <v>Bull</v>
      </c>
      <c r="F127" s="114" t="n">
        <v>0.09</v>
      </c>
      <c r="G127" s="114" t="n">
        <v>0.09</v>
      </c>
      <c r="H127" s="114" t="n">
        <v>0.09</v>
      </c>
      <c r="I127" s="114" t="n">
        <v>0.09</v>
      </c>
      <c r="J127" s="114" t="n">
        <v>0.09</v>
      </c>
      <c r="K127" s="114" t="n">
        <v>0.09</v>
      </c>
      <c r="L127" s="114" t="n">
        <v>0.09</v>
      </c>
      <c r="M127" s="114" t="n">
        <v>0.09</v>
      </c>
      <c r="N127" s="114" t="n">
        <v>0.09</v>
      </c>
      <c r="O127" s="114" t="n">
        <v>0.09</v>
      </c>
    </row>
    <row r="128">
      <c r="B128" s="26" t="str">
        <f>$B$48</f>
        <v>Bear</v>
      </c>
      <c r="F128" s="114" t="n">
        <v>0.08</v>
      </c>
      <c r="G128" s="114" t="n">
        <v>0.08</v>
      </c>
      <c r="H128" s="114" t="n">
        <v>0.08</v>
      </c>
      <c r="I128" s="114" t="n">
        <v>0.08</v>
      </c>
      <c r="J128" s="114" t="n">
        <v>0.08</v>
      </c>
      <c r="K128" s="114" t="n">
        <v>0.08</v>
      </c>
      <c r="L128" s="114" t="n">
        <v>0.08</v>
      </c>
      <c r="M128" s="114" t="n">
        <v>0.08</v>
      </c>
      <c r="N128" s="114" t="n">
        <v>0.08</v>
      </c>
      <c r="O128" s="114" t="n">
        <v>0.08</v>
      </c>
    </row>
    <row r="130">
      <c r="B130" s="32" t="inlineStr">
        <is>
          <t>Customer deposits / deferred revenue (% of revenue)</t>
        </is>
      </c>
      <c r="D130" s="116">
        <f>Bal_Sht!D28/Inc_Stmt!D12</f>
        <v>0.14723415667801398</v>
      </c>
      <c r="E130" s="116">
        <f>Bal_Sht!E28/Inc_Stmt!E12</f>
        <v>0.18580847697173145</v>
      </c>
      <c r="F130" s="121">
        <f>OFFSET(F130,Scenario,0)</f>
        <v>0.186</v>
      </c>
      <c r="G130" s="121">
        <f>OFFSET(G130,Scenario,0)</f>
        <v>0.186</v>
      </c>
      <c r="H130" s="121">
        <f>OFFSET(H130,Scenario,0)</f>
        <v>0.186</v>
      </c>
      <c r="I130" s="121">
        <f>OFFSET(I130,Scenario,0)</f>
        <v>0.186</v>
      </c>
      <c r="J130" s="121">
        <f>OFFSET(J130,Scenario,0)</f>
        <v>0.186</v>
      </c>
      <c r="K130" s="121">
        <f>OFFSET(K130,Scenario,0)</f>
        <v>0.186</v>
      </c>
      <c r="L130" s="121">
        <f>OFFSET(L130,Scenario,0)</f>
        <v>0.186</v>
      </c>
      <c r="M130" s="121">
        <f>OFFSET(M130,Scenario,0)</f>
        <v>0.186</v>
      </c>
      <c r="N130" s="121">
        <f>OFFSET(N130,Scenario,0)</f>
        <v>0.186</v>
      </c>
      <c r="O130" s="121">
        <f>OFFSET(O130,Scenario,0)</f>
        <v>0.186</v>
      </c>
      <c r="Q130" s="31" t="inlineStr">
        <is>
          <t>Swing factor: FY25 was 14.7%. Bear case reverts to ~FY25 level</t>
        </is>
      </c>
    </row>
    <row r="131">
      <c r="B131" s="26" t="str">
        <f>$B$46</f>
        <v>Base</v>
      </c>
      <c r="F131" s="114" t="n">
        <v>0.186</v>
      </c>
      <c r="G131" s="114" t="n">
        <v>0.186</v>
      </c>
      <c r="H131" s="114" t="n">
        <v>0.186</v>
      </c>
      <c r="I131" s="114" t="n">
        <v>0.186</v>
      </c>
      <c r="J131" s="114" t="n">
        <v>0.186</v>
      </c>
      <c r="K131" s="114" t="n">
        <v>0.186</v>
      </c>
      <c r="L131" s="114" t="n">
        <v>0.186</v>
      </c>
      <c r="M131" s="114" t="n">
        <v>0.186</v>
      </c>
      <c r="N131" s="114" t="n">
        <v>0.186</v>
      </c>
      <c r="O131" s="114" t="n">
        <v>0.186</v>
      </c>
    </row>
    <row r="132">
      <c r="B132" s="26" t="str">
        <f>$B$47</f>
        <v>Bull</v>
      </c>
      <c r="F132" s="114" t="n">
        <v>0.2</v>
      </c>
      <c r="G132" s="114" t="n">
        <v>0.2</v>
      </c>
      <c r="H132" s="114" t="n">
        <v>0.2</v>
      </c>
      <c r="I132" s="114" t="n">
        <v>0.2</v>
      </c>
      <c r="J132" s="114" t="n">
        <v>0.2</v>
      </c>
      <c r="K132" s="114" t="n">
        <v>0.2</v>
      </c>
      <c r="L132" s="114" t="n">
        <v>0.2</v>
      </c>
      <c r="M132" s="114" t="n">
        <v>0.2</v>
      </c>
      <c r="N132" s="114" t="n">
        <v>0.2</v>
      </c>
      <c r="O132" s="114" t="n">
        <v>0.2</v>
      </c>
    </row>
    <row r="133">
      <c r="B133" s="26" t="str">
        <f>$B$48</f>
        <v>Bear</v>
      </c>
      <c r="F133" s="114" t="n">
        <v>0.15</v>
      </c>
      <c r="G133" s="114" t="n">
        <v>0.15</v>
      </c>
      <c r="H133" s="114" t="n">
        <v>0.15</v>
      </c>
      <c r="I133" s="114" t="n">
        <v>0.15</v>
      </c>
      <c r="J133" s="114" t="n">
        <v>0.15</v>
      </c>
      <c r="K133" s="114" t="n">
        <v>0.15</v>
      </c>
      <c r="L133" s="114" t="n">
        <v>0.15</v>
      </c>
      <c r="M133" s="114" t="n">
        <v>0.15</v>
      </c>
      <c r="N133" s="114" t="n">
        <v>0.15</v>
      </c>
      <c r="O133" s="114" t="n">
        <v>0.15</v>
      </c>
    </row>
    <row r="135">
      <c r="B135" s="32" t="inlineStr">
        <is>
          <t>Amortization of acquired intangibles ($MM)</t>
        </is>
      </c>
      <c r="C135" s="113">
        <f>Inc_Stmt!C38</f>
        <v>70.1</v>
      </c>
      <c r="D135" s="113">
        <f>Inc_Stmt!D38</f>
        <v>58.7</v>
      </c>
      <c r="E135" s="113">
        <f>Inc_Stmt!E38</f>
        <v>47.9</v>
      </c>
      <c r="F135" s="115" t="n">
        <v>25.29</v>
      </c>
      <c r="G135" s="115" t="n">
        <v>25.054</v>
      </c>
      <c r="H135" s="115" t="n">
        <v>24.259</v>
      </c>
      <c r="I135" s="115" t="n">
        <v>22.843</v>
      </c>
      <c r="J135" s="115" t="n">
        <v>22.843</v>
      </c>
      <c r="K135" s="115" t="n">
        <v>22.843</v>
      </c>
      <c r="L135" s="115" t="n">
        <v>22.843</v>
      </c>
      <c r="M135" s="115" t="n">
        <v>22.843</v>
      </c>
      <c r="N135" s="115" t="n">
        <v>22.843</v>
      </c>
      <c r="O135" s="115" t="n">
        <v>22.843</v>
      </c>
      <c r="Q135" s="31" t="inlineStr">
        <is>
          <t>10-K Note 8 schedule: FY27–31 per note; $169.2m thereafter spread at $22.8m/yr (not scenario-dependent)</t>
        </is>
      </c>
    </row>
  </sheetData>
  <autoFilter ref="D32:D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pane xSplit="2" ySplit="5" topLeftCell="C6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ColWidth="8.875" defaultRowHeight="15"/>
  <cols>
    <col width="2.95703125" customWidth="1" style="94" min="1" max="1"/>
    <col width="43.98828125" customWidth="1" style="94" min="2" max="2"/>
    <col width="12.5078125" customWidth="1" style="94" min="3" max="15"/>
    <col width="55.01953125" customWidth="1" style="94" min="17" max="17"/>
  </cols>
  <sheetData>
    <row r="1" ht="18.75" customHeight="1" s="94">
      <c r="A1" s="24" t="str">
        <f>"Income Statement for "&amp;Name</f>
        <v>Income Statement for Forgent Power Solutions, Inc.</v>
      </c>
    </row>
    <row r="2">
      <c r="A2" s="25" t="inlineStr">
        <is>
          <t>(Dollars in Millions unless stated)</t>
        </is>
      </c>
    </row>
    <row r="4">
      <c r="C4" s="25" t="str">
        <f>"Historical — fiscal years ending "&amp;TEXT(FYE,"mmmm d")</f>
        <v>Historical — fiscal years ending June 30</v>
      </c>
      <c r="F4" s="25" t="str">
        <f>"Projected — fiscal years ending "&amp;TEXT(FYE,"mmmm d")</f>
        <v>Projected — fiscal years ending June 30</v>
      </c>
    </row>
    <row r="5">
      <c r="B5" s="52" t="n"/>
      <c r="C5" s="53" t="inlineStr">
        <is>
          <t>FY24PF</t>
        </is>
      </c>
      <c r="D5" s="53" t="inlineStr">
        <is>
          <t>FY25A</t>
        </is>
      </c>
      <c r="E5" s="53" t="inlineStr">
        <is>
          <t>FY26A</t>
        </is>
      </c>
      <c r="F5" s="53" t="inlineStr">
        <is>
          <t>FY27E</t>
        </is>
      </c>
      <c r="G5" s="53" t="inlineStr">
        <is>
          <t>FY28E</t>
        </is>
      </c>
      <c r="H5" s="53" t="inlineStr">
        <is>
          <t>FY29E</t>
        </is>
      </c>
      <c r="I5" s="53" t="inlineStr">
        <is>
          <t>FY30E</t>
        </is>
      </c>
      <c r="J5" s="53" t="inlineStr">
        <is>
          <t>FY31E</t>
        </is>
      </c>
      <c r="K5" s="53" t="inlineStr">
        <is>
          <t>FY32E</t>
        </is>
      </c>
      <c r="L5" s="53" t="inlineStr">
        <is>
          <t>FY33E</t>
        </is>
      </c>
      <c r="M5" s="53" t="inlineStr">
        <is>
          <t>FY34E</t>
        </is>
      </c>
      <c r="N5" s="53" t="inlineStr">
        <is>
          <t>FY35E</t>
        </is>
      </c>
      <c r="O5" s="53" t="inlineStr">
        <is>
          <t>FY36E</t>
        </is>
      </c>
    </row>
    <row r="7">
      <c r="B7" s="59" t="inlineStr">
        <is>
          <t>Revenue</t>
        </is>
      </c>
    </row>
    <row r="8">
      <c r="B8" s="26" t="inlineStr">
        <is>
          <t>Custom products</t>
        </is>
      </c>
      <c r="D8" s="115" t="n">
        <v>590.6</v>
      </c>
      <c r="E8" s="115" t="n">
        <v>990.5</v>
      </c>
      <c r="F8" s="113">
        <f>E8*(1+Assumptions!F55)</f>
        <v>1525.3700000000001</v>
      </c>
      <c r="G8" s="113">
        <f>F8*(1+Assumptions!G55)</f>
        <v>1906.7125</v>
      </c>
      <c r="H8" s="113">
        <f>G8*(1+Assumptions!H55)</f>
        <v>2211.7865</v>
      </c>
      <c r="I8" s="113">
        <f>H8*(1+Assumptions!I55)</f>
        <v>2455.0830150000006</v>
      </c>
      <c r="J8" s="113">
        <f>I8*(1+Assumptions!J55)</f>
        <v>2651.489656200001</v>
      </c>
      <c r="K8" s="113">
        <f>J8*(1+Assumptions!K55)</f>
        <v>2823.8364838530006</v>
      </c>
      <c r="L8" s="113">
        <f>K8*(1+Assumptions!L55)</f>
        <v>2979.1474904649153</v>
      </c>
      <c r="M8" s="113">
        <f>L8*(1+Assumptions!M55)</f>
        <v>3113.209127535836</v>
      </c>
      <c r="N8" s="113">
        <f>M8*(1+Assumptions!N55)</f>
        <v>3222.17144699959</v>
      </c>
      <c r="O8" s="113">
        <f>N8*(1+Assumptions!O55)</f>
        <v>3318.8365904095776</v>
      </c>
      <c r="Q8" s="31" t="inlineStr">
        <is>
          <t>10-K Note 14 disaggregation ($0.1m rounding; PF FY24 by offering not disclosed)</t>
        </is>
      </c>
    </row>
    <row r="9">
      <c r="B9" s="26" t="inlineStr">
        <is>
          <t>Powertrain solutions (PTS)</t>
        </is>
      </c>
      <c r="D9" s="115" t="n">
        <v>99.5</v>
      </c>
      <c r="E9" s="115" t="n">
        <v>357.4</v>
      </c>
      <c r="F9" s="113">
        <f>E9*(1+Assumptions!F60)</f>
        <v>893.5</v>
      </c>
      <c r="G9" s="113">
        <f>F9*(1+Assumptions!G60)</f>
        <v>1268.77</v>
      </c>
      <c r="H9" s="113">
        <f>G9*(1+Assumptions!H60)</f>
        <v>1598.6502</v>
      </c>
      <c r="I9" s="113">
        <f>H9*(1+Assumptions!I60)</f>
        <v>1886.407236</v>
      </c>
      <c r="J9" s="113">
        <f>I9*(1+Assumptions!J60)</f>
        <v>2122.2081405</v>
      </c>
      <c r="K9" s="113">
        <f>J9*(1+Assumptions!K60)</f>
        <v>2334.42895455</v>
      </c>
      <c r="L9" s="113">
        <f>K9*(1+Assumptions!L60)</f>
        <v>2509.51112614125</v>
      </c>
      <c r="M9" s="113">
        <f>L9*(1+Assumptions!M60)</f>
        <v>2647.5342380790185</v>
      </c>
      <c r="N9" s="113">
        <f>M9*(1+Assumptions!N60)</f>
        <v>2766.673278792574</v>
      </c>
      <c r="O9" s="113">
        <f>N9*(1+Assumptions!O60)</f>
        <v>2849.673477156351</v>
      </c>
    </row>
    <row r="10">
      <c r="B10" s="26" t="inlineStr">
        <is>
          <t>Standard products</t>
        </is>
      </c>
      <c r="D10" s="115" t="n">
        <v>34.6</v>
      </c>
      <c r="E10" s="115" t="n">
        <v>42.5</v>
      </c>
      <c r="F10" s="113">
        <f>E10*(1+Assumptions!F65)</f>
        <v>46.75000000000001</v>
      </c>
      <c r="G10" s="113">
        <f>F10*(1+Assumptions!G65)</f>
        <v>50.49000000000001</v>
      </c>
      <c r="H10" s="113">
        <f>G10*(1+Assumptions!H65)</f>
        <v>53.51940000000001</v>
      </c>
      <c r="I10" s="113">
        <f>H10*(1+Assumptions!I65)</f>
        <v>56.19537000000001</v>
      </c>
      <c r="J10" s="113">
        <f>I10*(1+Assumptions!J65)</f>
        <v>58.44318480000001</v>
      </c>
      <c r="K10" s="113">
        <f>J10*(1+Assumptions!K65)</f>
        <v>60.78091219200002</v>
      </c>
      <c r="L10" s="113">
        <f>K10*(1+Assumptions!L65)</f>
        <v>62.90824411872001</v>
      </c>
      <c r="M10" s="113">
        <f>L10*(1+Assumptions!M65)</f>
        <v>64.79549144228162</v>
      </c>
      <c r="N10" s="113">
        <f>M10*(1+Assumptions!N65)</f>
        <v>66.73935618555006</v>
      </c>
      <c r="O10" s="113">
        <f>N10*(1+Assumptions!O65)</f>
        <v>68.74153687111657</v>
      </c>
    </row>
    <row r="11">
      <c r="B11" s="26" t="inlineStr">
        <is>
          <t>Services</t>
        </is>
      </c>
      <c r="D11" s="115" t="n">
        <v>28.4</v>
      </c>
      <c r="E11" s="115" t="n">
        <v>29.7</v>
      </c>
      <c r="F11" s="113">
        <f>E11*(1+Assumptions!F70)</f>
        <v>35.64</v>
      </c>
      <c r="G11" s="113">
        <f>F11*(1+Assumptions!G70)</f>
        <v>40.986</v>
      </c>
      <c r="H11" s="113">
        <f>G11*(1+Assumptions!H70)</f>
        <v>45.90432</v>
      </c>
      <c r="I11" s="113">
        <f>H11*(1+Assumptions!I70)</f>
        <v>50.494752000000005</v>
      </c>
      <c r="J11" s="113">
        <f>I11*(1+Assumptions!J70)</f>
        <v>54.53433216000001</v>
      </c>
      <c r="K11" s="113">
        <f>J11*(1+Assumptions!K70)</f>
        <v>58.35173541120002</v>
      </c>
      <c r="L11" s="113">
        <f>K11*(1+Assumptions!L70)</f>
        <v>61.85283953587202</v>
      </c>
      <c r="M11" s="113">
        <f>L11*(1+Assumptions!M70)</f>
        <v>64.94548151266562</v>
      </c>
      <c r="N11" s="113">
        <f>M11*(1+Assumptions!N70)</f>
        <v>67.86802818073558</v>
      </c>
      <c r="O11" s="113">
        <f>N11*(1+Assumptions!O70)</f>
        <v>69.90406902615764</v>
      </c>
    </row>
    <row r="12">
      <c r="B12" s="60" t="inlineStr">
        <is>
          <t>Total revenue</t>
        </is>
      </c>
      <c r="C12" s="126" t="n">
        <v>482.7</v>
      </c>
      <c r="D12" s="126" t="n">
        <v>753.188</v>
      </c>
      <c r="E12" s="126" t="n">
        <v>1420.059</v>
      </c>
      <c r="F12" s="127">
        <f>SUM(F8:F11)</f>
        <v>2501.2599999999998</v>
      </c>
      <c r="G12" s="127">
        <f>SUM(G8:G11)</f>
        <v>3266.9584999999997</v>
      </c>
      <c r="H12" s="127">
        <f>SUM(H8:H11)</f>
        <v>3909.8604200000004</v>
      </c>
      <c r="I12" s="127">
        <f>SUM(I8:I11)</f>
        <v>4448.180373000001</v>
      </c>
      <c r="J12" s="127">
        <f>SUM(J8:J11)</f>
        <v>4886.675313660001</v>
      </c>
      <c r="K12" s="127">
        <f>SUM(K8:K11)</f>
        <v>5277.398086006201</v>
      </c>
      <c r="L12" s="127">
        <f>SUM(L8:L11)</f>
        <v>5613.419700260757</v>
      </c>
      <c r="M12" s="127">
        <f>SUM(M8:M11)</f>
        <v>5890.484338569802</v>
      </c>
      <c r="N12" s="127">
        <f>SUM(N8:N11)</f>
        <v>6123.452110158449</v>
      </c>
      <c r="O12" s="127">
        <f>SUM(O8:O11)</f>
        <v>6307.155673463202</v>
      </c>
      <c r="Q12" s="31" t="inlineStr">
        <is>
          <t>PF FY24: IPO 424B4 pro forma (all acquisitions from 7/1/23); FY25–26: 10-K</t>
        </is>
      </c>
    </row>
    <row r="14">
      <c r="B14" s="26" t="inlineStr">
        <is>
          <t>Cost of revenues (incl. depreciation)</t>
        </is>
      </c>
      <c r="C14" s="115" t="n">
        <v>-292.3</v>
      </c>
      <c r="D14" s="115" t="n">
        <v>-475.122</v>
      </c>
      <c r="E14" s="115" t="n">
        <v>-922.4589999999999</v>
      </c>
      <c r="F14" s="113">
        <f>-F12*(1-Assumptions!F75)</f>
        <v>-1600.8064</v>
      </c>
      <c r="G14" s="113">
        <f>-G12*(1-Assumptions!G75)</f>
        <v>-2074.5186475</v>
      </c>
      <c r="H14" s="113">
        <f>-H12*(1-Assumptions!H75)</f>
        <v>-2471.0317854400005</v>
      </c>
      <c r="I14" s="113">
        <f>-I12*(1-Assumptions!I75)</f>
        <v>-2811.2499957360005</v>
      </c>
      <c r="J14" s="113">
        <f>-J12*(1-Assumptions!J75)</f>
        <v>-3098.152148860441</v>
      </c>
      <c r="K14" s="113">
        <f>-K12*(1-Assumptions!K75)</f>
        <v>-3366.9799788719565</v>
      </c>
      <c r="L14" s="113">
        <f>-L12*(1-Assumptions!L75)</f>
        <v>-3603.815447567406</v>
      </c>
      <c r="M14" s="113">
        <f>-M12*(1-Assumptions!M75)</f>
        <v>-3805.2528827160922</v>
      </c>
      <c r="N14" s="113">
        <f>-N12*(1-Assumptions!N75)</f>
        <v>-3980.243871602992</v>
      </c>
      <c r="O14" s="113">
        <f>-O12*(1-Assumptions!O75)</f>
        <v>-4112.265499098008</v>
      </c>
      <c r="Q14" s="31" t="inlineStr">
        <is>
          <t>FY26 COGS includes $14.7m depreciation (10-K Note 7)</t>
        </is>
      </c>
    </row>
    <row r="15">
      <c r="B15" s="60" t="inlineStr">
        <is>
          <t>Gross profit</t>
        </is>
      </c>
      <c r="C15" s="127">
        <f>C12+C14</f>
        <v>190.39999999999998</v>
      </c>
      <c r="D15" s="127">
        <f>D12+D14</f>
        <v>278.066</v>
      </c>
      <c r="E15" s="127">
        <f>E12+E14</f>
        <v>497.6</v>
      </c>
      <c r="F15" s="127">
        <f>F12+F14</f>
        <v>900.4535999999998</v>
      </c>
      <c r="G15" s="127">
        <f>G12+G14</f>
        <v>1192.4398524999997</v>
      </c>
      <c r="H15" s="127">
        <f>H12+H14</f>
        <v>1438.82863456</v>
      </c>
      <c r="I15" s="127">
        <f>I12+I14</f>
        <v>1636.9303772640005</v>
      </c>
      <c r="J15" s="127">
        <f>J12+J14</f>
        <v>1788.5231647995602</v>
      </c>
      <c r="K15" s="127">
        <f>K12+K14</f>
        <v>1910.4181071342446</v>
      </c>
      <c r="L15" s="127">
        <f>L12+L14</f>
        <v>2009.604252693351</v>
      </c>
      <c r="M15" s="127">
        <f>M12+M14</f>
        <v>2085.23145585371</v>
      </c>
      <c r="N15" s="127">
        <f>N12+N14</f>
        <v>2143.208238555457</v>
      </c>
      <c r="O15" s="127">
        <f>O12+O14</f>
        <v>2194.890174365194</v>
      </c>
    </row>
    <row r="17">
      <c r="B17" s="26" t="inlineStr">
        <is>
          <t>Selling, general &amp; administrative</t>
        </is>
      </c>
      <c r="C17" s="115" t="n">
        <v>-100.7</v>
      </c>
      <c r="D17" s="115" t="n">
        <v>-146.27</v>
      </c>
      <c r="E17" s="115" t="n">
        <v>-262.886</v>
      </c>
      <c r="F17" s="113">
        <f>-F12*Assumptions!F80</f>
        <v>-337.6701</v>
      </c>
      <c r="G17" s="113">
        <f>-G12*Assumptions!G80</f>
        <v>-405.102854</v>
      </c>
      <c r="H17" s="113">
        <f>-H12*Assumptions!H80</f>
        <v>-469.1832504</v>
      </c>
      <c r="I17" s="113">
        <f>-I12*Assumptions!I80</f>
        <v>-533.7816447600001</v>
      </c>
      <c r="J17" s="113">
        <f>-J12*Assumptions!J80</f>
        <v>-586.4010376392001</v>
      </c>
      <c r="K17" s="113">
        <f>-K12*Assumptions!K80</f>
        <v>-643.8425664927565</v>
      </c>
      <c r="L17" s="113">
        <f>-L12*Assumptions!L80</f>
        <v>-696.0640428323338</v>
      </c>
      <c r="M17" s="113">
        <f>-M12*Assumptions!M80</f>
        <v>-742.201026659795</v>
      </c>
      <c r="N17" s="113">
        <f>-N12*Assumptions!N80</f>
        <v>-783.8018701002815</v>
      </c>
      <c r="O17" s="113">
        <f>-O12*Assumptions!O80</f>
        <v>-819.9302375502164</v>
      </c>
    </row>
    <row r="18">
      <c r="B18" s="26" t="inlineStr">
        <is>
          <t>Depreciation &amp; amortization (opex line)</t>
        </is>
      </c>
      <c r="C18" s="115" t="n">
        <v>-71.3</v>
      </c>
      <c r="D18" s="115" t="n">
        <v>-59.559</v>
      </c>
      <c r="E18" s="115" t="n">
        <v>-52.225</v>
      </c>
      <c r="F18" s="113">
        <f>-(F38+F37*DepOpex)</f>
        <v>-32.2380423</v>
      </c>
      <c r="G18" s="113">
        <f>-(G38+G37*DepOpex)</f>
        <v>-33.909563094999996</v>
      </c>
      <c r="H18" s="113">
        <f>-(H38+H37*DepOpex)</f>
        <v>-33.11522734855</v>
      </c>
      <c r="I18" s="113">
        <f>-(I38+I37*DepOpex)</f>
        <v>-32.093868733361504</v>
      </c>
      <c r="J18" s="113">
        <f>-(J38+J37*DepOpex)</f>
        <v>-32.81734482838307</v>
      </c>
      <c r="K18" s="113">
        <f>-(K38+K37*DepOpex)</f>
        <v>-33.806067501121724</v>
      </c>
      <c r="L18" s="113">
        <f>-(L38+L37*DepOpex)</f>
        <v>-34.939751565252</v>
      </c>
      <c r="M18" s="113">
        <f>-(M38+M37*DepOpex)</f>
        <v>-36.53339836653712</v>
      </c>
      <c r="N18" s="113">
        <f>-(N38+N37*DepOpex)</f>
        <v>-37.93172933293275</v>
      </c>
      <c r="O18" s="113">
        <f>-(O38+O37*DepOpex)</f>
        <v>-39.166106804605526</v>
      </c>
      <c r="Q18" s="31" t="inlineStr">
        <is>
          <t>Projected = intangible amortization + opex share of depreciation</t>
        </is>
      </c>
    </row>
    <row r="20">
      <c r="B20" s="60" t="inlineStr">
        <is>
          <t>Operating income (EBIT)</t>
        </is>
      </c>
      <c r="C20" s="127">
        <f>C15+C17+C18</f>
        <v>18.399999999999977</v>
      </c>
      <c r="D20" s="127">
        <f>D15+D17+D18</f>
        <v>72.23699999999997</v>
      </c>
      <c r="E20" s="127">
        <f>E15+E17+E18</f>
        <v>182.489</v>
      </c>
      <c r="F20" s="127">
        <f>F15+F17+F18</f>
        <v>530.5454576999998</v>
      </c>
      <c r="G20" s="127">
        <f>G15+G17+G18</f>
        <v>753.4274354049998</v>
      </c>
      <c r="H20" s="127">
        <f>H15+H17+H18</f>
        <v>936.53015681145</v>
      </c>
      <c r="I20" s="127">
        <f>I15+I17+I18</f>
        <v>1071.054863770639</v>
      </c>
      <c r="J20" s="127">
        <f>J15+J17+J18</f>
        <v>1169.3047823319769</v>
      </c>
      <c r="K20" s="127">
        <f>K15+K17+K18</f>
        <v>1232.7694731403662</v>
      </c>
      <c r="L20" s="127">
        <f>L15+L17+L18</f>
        <v>1278.6004582957653</v>
      </c>
      <c r="M20" s="127">
        <f>M15+M17+M18</f>
        <v>1306.497030827378</v>
      </c>
      <c r="N20" s="127">
        <f>N15+N17+N18</f>
        <v>1321.4746391222425</v>
      </c>
      <c r="O20" s="127">
        <f>O15+O17+O18</f>
        <v>1335.7938300103722</v>
      </c>
    </row>
    <row r="22">
      <c r="B22" s="26" t="inlineStr">
        <is>
          <t>Interest expense</t>
        </is>
      </c>
      <c r="C22" s="115" t="n">
        <v>-58.7</v>
      </c>
      <c r="D22" s="115" t="n">
        <v>-54.778</v>
      </c>
      <c r="E22" s="115" t="n">
        <v>-57.127</v>
      </c>
      <c r="F22" s="113">
        <f>-Capitalization!F22</f>
        <v>-38.24415</v>
      </c>
      <c r="G22" s="113">
        <f>-Capitalization!G22</f>
        <v>-37.860749999999996</v>
      </c>
      <c r="H22" s="113">
        <f>-Capitalization!H22</f>
        <v>-37.47735</v>
      </c>
      <c r="I22" s="113">
        <f>-Capitalization!I22</f>
        <v>-37.09395</v>
      </c>
      <c r="J22" s="113">
        <f>-Capitalization!J22</f>
        <v>-36.71055</v>
      </c>
      <c r="K22" s="113">
        <f>-Capitalization!K22</f>
        <v>-36.327149999999996</v>
      </c>
      <c r="L22" s="113">
        <f>-Capitalization!L22</f>
        <v>-35.94375</v>
      </c>
      <c r="M22" s="113">
        <f>-Capitalization!M22</f>
        <v>-35.56035</v>
      </c>
      <c r="N22" s="113">
        <f>-Capitalization!N22</f>
        <v>-35.17695</v>
      </c>
      <c r="O22" s="113">
        <f>-Capitalization!O22</f>
        <v>-34.793549999999996</v>
      </c>
      <c r="Q22" s="31" t="inlineStr">
        <is>
          <t>Capitalization tab: beginning term-loan balance x 6.39%</t>
        </is>
      </c>
    </row>
    <row r="23">
      <c r="B23" s="26" t="inlineStr">
        <is>
          <t>Interest income</t>
        </is>
      </c>
      <c r="C23" s="115" t="n">
        <v>4.4</v>
      </c>
      <c r="D23" s="115" t="n">
        <v>5.558</v>
      </c>
      <c r="E23" s="115" t="n">
        <v>2.787</v>
      </c>
      <c r="F23" s="113">
        <f>Bal_Sht!E7*CashYield</f>
        <v>2.4369250000000005</v>
      </c>
      <c r="G23" s="113">
        <f>Bal_Sht!F7*CashYield</f>
        <v>7.884835099426365</v>
      </c>
      <c r="H23" s="113">
        <f>Bal_Sht!G7*CashYield</f>
        <v>20.213930541589836</v>
      </c>
      <c r="I23" s="113">
        <f>Bal_Sht!H7*CashYield</f>
        <v>36.41593851339049</v>
      </c>
      <c r="J23" s="113">
        <f>Bal_Sht!I7*CashYield</f>
        <v>55.576962876371994</v>
      </c>
      <c r="K23" s="113">
        <f>Bal_Sht!J7*CashYield</f>
        <v>77.11985430314567</v>
      </c>
      <c r="L23" s="113">
        <f>Bal_Sht!K7*CashYield</f>
        <v>100.34565412730686</v>
      </c>
      <c r="M23" s="113">
        <f>Bal_Sht!L7*CashYield</f>
        <v>124.76444796709912</v>
      </c>
      <c r="N23" s="113">
        <f>Bal_Sht!M7*CashYield</f>
        <v>150.54941836091652</v>
      </c>
      <c r="O23" s="113">
        <f>Bal_Sht!N7*CashYield</f>
        <v>177.40688552488976</v>
      </c>
      <c r="Q23" s="31" t="inlineStr">
        <is>
          <t>Beginning cash x CashYield (no circularity)</t>
        </is>
      </c>
    </row>
    <row r="24">
      <c r="B24" s="26" t="inlineStr">
        <is>
          <t>Other non-operating income / (expense)</t>
        </is>
      </c>
      <c r="C24" s="115" t="n">
        <v>-0.6</v>
      </c>
      <c r="D24" s="115" t="n">
        <v>-0.231</v>
      </c>
      <c r="E24" s="115" t="n">
        <v>-0.749</v>
      </c>
      <c r="F24" s="115" t="n">
        <v>0</v>
      </c>
      <c r="G24" s="115" t="n">
        <v>0</v>
      </c>
      <c r="H24" s="115" t="n">
        <v>0</v>
      </c>
      <c r="I24" s="115" t="n">
        <v>0</v>
      </c>
      <c r="J24" s="115" t="n">
        <v>0</v>
      </c>
      <c r="K24" s="115" t="n">
        <v>0</v>
      </c>
      <c r="L24" s="115" t="n">
        <v>0</v>
      </c>
      <c r="M24" s="115" t="n">
        <v>0</v>
      </c>
      <c r="N24" s="115" t="n">
        <v>0</v>
      </c>
      <c r="O24" s="115" t="n">
        <v>0</v>
      </c>
    </row>
    <row r="26">
      <c r="B26" s="60" t="inlineStr">
        <is>
          <t>Earnings before income taxes</t>
        </is>
      </c>
      <c r="C26" s="127">
        <f>SUM(C20:C24)</f>
        <v>-36.50000000000003</v>
      </c>
      <c r="D26" s="127">
        <f>SUM(D20:D24)</f>
        <v>22.785999999999966</v>
      </c>
      <c r="E26" s="127">
        <f>SUM(E20:E24)</f>
        <v>127.4</v>
      </c>
      <c r="F26" s="127">
        <f>SUM(F20:F24)</f>
        <v>494.7382326999998</v>
      </c>
      <c r="G26" s="127">
        <f>SUM(G20:G24)</f>
        <v>723.4515205044262</v>
      </c>
      <c r="H26" s="127">
        <f>SUM(H20:H24)</f>
        <v>919.2667373530398</v>
      </c>
      <c r="I26" s="127">
        <f>SUM(I20:I24)</f>
        <v>1070.3768522840296</v>
      </c>
      <c r="J26" s="127">
        <f>SUM(J20:J24)</f>
        <v>1188.1711952083488</v>
      </c>
      <c r="K26" s="127">
        <f>SUM(K20:K24)</f>
        <v>1273.562177443512</v>
      </c>
      <c r="L26" s="127">
        <f>SUM(L20:L24)</f>
        <v>1343.0023624230723</v>
      </c>
      <c r="M26" s="127">
        <f>SUM(M20:M24)</f>
        <v>1395.7011287944772</v>
      </c>
      <c r="N26" s="127">
        <f>SUM(N20:N24)</f>
        <v>1436.8471074831589</v>
      </c>
      <c r="O26" s="127">
        <f>SUM(O20:O24)</f>
        <v>1478.4071655352618</v>
      </c>
    </row>
    <row r="28">
      <c r="B28" s="26" t="inlineStr">
        <is>
          <t>Income tax (expense) / benefit</t>
        </is>
      </c>
      <c r="C28" s="115" t="n">
        <v>8.4</v>
      </c>
      <c r="D28" s="115" t="n">
        <v>-5.34</v>
      </c>
      <c r="E28" s="115" t="n">
        <v>-21.365</v>
      </c>
      <c r="F28" s="113">
        <f>-F26*TaxRate</f>
        <v>-123.68455817499995</v>
      </c>
      <c r="G28" s="113">
        <f>-G26*TaxRate</f>
        <v>-180.86288012610655</v>
      </c>
      <c r="H28" s="113">
        <f>-H26*TaxRate</f>
        <v>-229.81668433825996</v>
      </c>
      <c r="I28" s="113">
        <f>-I26*TaxRate</f>
        <v>-267.5942130710074</v>
      </c>
      <c r="J28" s="113">
        <f>-J26*TaxRate</f>
        <v>-297.0427988020872</v>
      </c>
      <c r="K28" s="113">
        <f>-K26*TaxRate</f>
        <v>-318.390544360878</v>
      </c>
      <c r="L28" s="113">
        <f>-L26*TaxRate</f>
        <v>-335.7505906057681</v>
      </c>
      <c r="M28" s="113">
        <f>-M26*TaxRate</f>
        <v>-348.9252821986193</v>
      </c>
      <c r="N28" s="113">
        <f>-N26*TaxRate</f>
        <v>-359.2117768707897</v>
      </c>
      <c r="O28" s="113">
        <f>-O26*TaxRate</f>
        <v>-369.60179138381545</v>
      </c>
      <c r="Q28" s="31" t="inlineStr">
        <is>
          <t>Normalized 25% (fully exchanged); history as reported</t>
        </is>
      </c>
    </row>
    <row r="30">
      <c r="B30" s="60" t="inlineStr">
        <is>
          <t>Net income (incl. NCI)</t>
        </is>
      </c>
      <c r="C30" s="127">
        <f>C26+C28</f>
        <v>-28.10000000000003</v>
      </c>
      <c r="D30" s="127">
        <f>D26+D28</f>
        <v>17.445999999999966</v>
      </c>
      <c r="E30" s="127">
        <f>E26+E28</f>
        <v>106.03500000000001</v>
      </c>
      <c r="F30" s="127">
        <f>F26+F28</f>
        <v>371.05367452499985</v>
      </c>
      <c r="G30" s="127">
        <f>G26+G28</f>
        <v>542.5886403783196</v>
      </c>
      <c r="H30" s="127">
        <f>H26+H28</f>
        <v>689.4500530147799</v>
      </c>
      <c r="I30" s="127">
        <f>I26+I28</f>
        <v>802.7826392130222</v>
      </c>
      <c r="J30" s="127">
        <f>J26+J28</f>
        <v>891.1283964062616</v>
      </c>
      <c r="K30" s="127">
        <f>K26+K28</f>
        <v>955.1716330826339</v>
      </c>
      <c r="L30" s="127">
        <f>L26+L28</f>
        <v>1007.2517718173042</v>
      </c>
      <c r="M30" s="127">
        <f>M26+M28</f>
        <v>1046.775846595858</v>
      </c>
      <c r="N30" s="127">
        <f>N26+N28</f>
        <v>1077.6353306123692</v>
      </c>
      <c r="O30" s="127">
        <f>O26+O28</f>
        <v>1108.8053741514464</v>
      </c>
    </row>
    <row r="31">
      <c r="B31" s="26" t="inlineStr">
        <is>
          <t>Less: net income attributable to NCI</t>
        </is>
      </c>
      <c r="C31" s="115" t="n">
        <v>8.699999999999999</v>
      </c>
      <c r="D31" s="115" t="n">
        <v>-2.25</v>
      </c>
      <c r="E31" s="115" t="n">
        <v>-24.19</v>
      </c>
      <c r="F31" s="113">
        <f>-F30*NCIpct</f>
        <v>-36.44585422260392</v>
      </c>
      <c r="G31" s="113">
        <f>-G30*NCIpct</f>
        <v>-53.29446343681673</v>
      </c>
      <c r="H31" s="113">
        <f>-H30*NCIpct</f>
        <v>-67.7195722643362</v>
      </c>
      <c r="I31" s="113">
        <f>-I30*NCIpct</f>
        <v>-78.85139280361383</v>
      </c>
      <c r="J31" s="113">
        <f>-J30*NCIpct</f>
        <v>-87.52894219582024</v>
      </c>
      <c r="K31" s="113">
        <f>-K30*NCIpct</f>
        <v>-93.8194349953829</v>
      </c>
      <c r="L31" s="113">
        <f>-L30*NCIpct</f>
        <v>-98.93488128936347</v>
      </c>
      <c r="M31" s="113">
        <f>-M30*NCIpct</f>
        <v>-102.81703841799586</v>
      </c>
      <c r="N31" s="113">
        <f>-N30*NCIpct</f>
        <v>-105.84813697076</v>
      </c>
      <c r="O31" s="113">
        <f>-O30*NCIpct</f>
        <v>-108.9097394852525</v>
      </c>
      <c r="Q31" s="31" t="inlineStr">
        <is>
          <t>Projected at Class B share of Opco (9.82% post-July 2026 follow-on)</t>
        </is>
      </c>
    </row>
    <row r="32">
      <c r="B32" s="60" t="inlineStr">
        <is>
          <t>Net income attributable to FPS</t>
        </is>
      </c>
      <c r="C32" s="127">
        <f>C30+C31</f>
        <v>-19.40000000000003</v>
      </c>
      <c r="D32" s="127">
        <f>D30+D31</f>
        <v>15.195999999999966</v>
      </c>
      <c r="E32" s="127">
        <f>E30+E31</f>
        <v>81.84500000000001</v>
      </c>
      <c r="F32" s="127">
        <f>F30+F31</f>
        <v>334.6078203023959</v>
      </c>
      <c r="G32" s="127">
        <f>G30+G31</f>
        <v>489.2941769415029</v>
      </c>
      <c r="H32" s="127">
        <f>H30+H31</f>
        <v>621.7304807504437</v>
      </c>
      <c r="I32" s="127">
        <f>I30+I31</f>
        <v>723.9312464094083</v>
      </c>
      <c r="J32" s="127">
        <f>J30+J31</f>
        <v>803.5994542104413</v>
      </c>
      <c r="K32" s="127">
        <f>K30+K31</f>
        <v>861.3521980872509</v>
      </c>
      <c r="L32" s="127">
        <f>L30+L31</f>
        <v>908.3168905279407</v>
      </c>
      <c r="M32" s="127">
        <f>M30+M31</f>
        <v>943.9588081778621</v>
      </c>
      <c r="N32" s="127">
        <f>N30+N31</f>
        <v>971.7871936416092</v>
      </c>
      <c r="O32" s="127">
        <f>O30+O31</f>
        <v>999.8956346661938</v>
      </c>
    </row>
    <row r="34">
      <c r="B34" s="59" t="inlineStr">
        <is>
          <t>Supplemental information</t>
        </is>
      </c>
    </row>
    <row r="35">
      <c r="B35" s="26" t="inlineStr">
        <is>
          <t>Diluted shares, fully exchanged (MM)</t>
        </is>
      </c>
      <c r="E35" s="128" t="n">
        <v>304.7</v>
      </c>
      <c r="F35" s="129">
        <f>DilutedShares</f>
        <v>305.12388</v>
      </c>
      <c r="G35" s="129">
        <f>DilutedShares</f>
        <v>305.12388</v>
      </c>
      <c r="H35" s="129">
        <f>DilutedShares</f>
        <v>305.12388</v>
      </c>
      <c r="I35" s="129">
        <f>DilutedShares</f>
        <v>305.12388</v>
      </c>
      <c r="J35" s="129">
        <f>DilutedShares</f>
        <v>305.12388</v>
      </c>
      <c r="K35" s="129">
        <f>DilutedShares</f>
        <v>305.12388</v>
      </c>
      <c r="L35" s="129">
        <f>DilutedShares</f>
        <v>305.12388</v>
      </c>
      <c r="M35" s="129">
        <f>DilutedShares</f>
        <v>305.12388</v>
      </c>
      <c r="N35" s="129">
        <f>DilutedShares</f>
        <v>305.12388</v>
      </c>
      <c r="O35" s="129">
        <f>DilutedShares</f>
        <v>305.12388</v>
      </c>
      <c r="Q35" s="31" t="inlineStr">
        <is>
          <t>FY26: company adj. diluted weighted shares (10-K MD&amp;A); FY24–25 pre-IPO n/a</t>
        </is>
      </c>
    </row>
    <row r="36">
      <c r="B36" s="26" t="inlineStr">
        <is>
          <t>Diluted EPS, fully exchanged (GAAP NI incl. NCI / shares)</t>
        </is>
      </c>
      <c r="E36" s="108">
        <f>E30/E35</f>
        <v>0.34799803085001646</v>
      </c>
      <c r="F36" s="108">
        <f>F30/F35</f>
        <v>1.2160754986630344</v>
      </c>
      <c r="G36" s="108">
        <f>G30/G35</f>
        <v>1.7782568849685565</v>
      </c>
      <c r="H36" s="108">
        <f>H30/H35</f>
        <v>2.2595742195425017</v>
      </c>
      <c r="I36" s="108">
        <f>I30/I35</f>
        <v>2.6310056073389676</v>
      </c>
      <c r="J36" s="108">
        <f>J30/J35</f>
        <v>2.9205462266875397</v>
      </c>
      <c r="K36" s="108">
        <f>K30/K35</f>
        <v>3.1304388010621587</v>
      </c>
      <c r="L36" s="108">
        <f>L30/L35</f>
        <v>3.3011240281072207</v>
      </c>
      <c r="M36" s="108">
        <f>M30/M35</f>
        <v>3.430658546279164</v>
      </c>
      <c r="N36" s="108">
        <f>N30/N35</f>
        <v>3.531796103970523</v>
      </c>
      <c r="O36" s="108">
        <f>O30/O35</f>
        <v>3.6339514762051612</v>
      </c>
      <c r="Q36" s="31" t="inlineStr">
        <is>
          <t>Reported GAAP Class A EPS $0.30 covers 2/6–6/30/26 only; this is the full-year economic EPS</t>
        </is>
      </c>
    </row>
    <row r="37">
      <c r="B37" s="26" t="inlineStr">
        <is>
          <t>Depreciation (total)</t>
        </is>
      </c>
      <c r="C37" s="115" t="n">
        <v>3.4</v>
      </c>
      <c r="D37" s="115" t="n">
        <v>6.2</v>
      </c>
      <c r="E37" s="115" t="n">
        <v>19</v>
      </c>
      <c r="F37" s="113">
        <f>Assumptions!F90*Bal_Sht!E16</f>
        <v>30.74355</v>
      </c>
      <c r="G37" s="113">
        <f>Assumptions!G90*Bal_Sht!F16</f>
        <v>39.1839075</v>
      </c>
      <c r="H37" s="113">
        <f>Assumptions!H90*Bal_Sht!G16</f>
        <v>39.186846675000005</v>
      </c>
      <c r="I37" s="113">
        <f>Assumptions!I90*Bal_Sht!H16</f>
        <v>40.93304749275</v>
      </c>
      <c r="J37" s="113">
        <f>Assumptions!J90*Bal_Sht!I16</f>
        <v>44.1342691521375</v>
      </c>
      <c r="K37" s="113">
        <f>Assumptions!K90*Bal_Sht!J16</f>
        <v>48.509148235051875</v>
      </c>
      <c r="L37" s="113">
        <f>Assumptions!L90*Bal_Sht!K16</f>
        <v>53.52544940376993</v>
      </c>
      <c r="M37" s="113">
        <f>Assumptions!M90*Bal_Sht!L16</f>
        <v>60.576983922730626</v>
      </c>
      <c r="N37" s="113">
        <f>Assumptions!N90*Bal_Sht!M16</f>
        <v>66.7642890837732</v>
      </c>
      <c r="O37" s="113">
        <f>Assumptions!O90*Bal_Sht!N16</f>
        <v>72.22613630356427</v>
      </c>
    </row>
    <row r="38">
      <c r="B38" s="26" t="inlineStr">
        <is>
          <t>Amortization of intangibles</t>
        </is>
      </c>
      <c r="C38" s="115" t="n">
        <v>70.09999999999999</v>
      </c>
      <c r="D38" s="115" t="n">
        <v>58.7</v>
      </c>
      <c r="E38" s="115" t="n">
        <v>47.9</v>
      </c>
      <c r="F38" s="113">
        <f>MIN(Assumptions!F135,Bal_Sht!E19)</f>
        <v>25.29</v>
      </c>
      <c r="G38" s="113">
        <f>MIN(Assumptions!G135,Bal_Sht!F19)</f>
        <v>25.054</v>
      </c>
      <c r="H38" s="113">
        <f>MIN(Assumptions!H135,Bal_Sht!G19)</f>
        <v>24.259</v>
      </c>
      <c r="I38" s="113">
        <f>MIN(Assumptions!I135,Bal_Sht!H19)</f>
        <v>22.843</v>
      </c>
      <c r="J38" s="113">
        <f>MIN(Assumptions!J135,Bal_Sht!I19)</f>
        <v>22.843</v>
      </c>
      <c r="K38" s="113">
        <f>MIN(Assumptions!K135,Bal_Sht!J19)</f>
        <v>22.843</v>
      </c>
      <c r="L38" s="113">
        <f>MIN(Assumptions!L135,Bal_Sht!K19)</f>
        <v>22.843</v>
      </c>
      <c r="M38" s="113">
        <f>MIN(Assumptions!M135,Bal_Sht!L19)</f>
        <v>22.843</v>
      </c>
      <c r="N38" s="113">
        <f>MIN(Assumptions!N135,Bal_Sht!M19)</f>
        <v>22.843</v>
      </c>
      <c r="O38" s="113">
        <f>MIN(Assumptions!O135,Bal_Sht!N19)</f>
        <v>22.843</v>
      </c>
    </row>
    <row r="39">
      <c r="B39" s="26" t="inlineStr">
        <is>
          <t>Total D&amp;A</t>
        </is>
      </c>
      <c r="C39" s="113">
        <f>C37+C38</f>
        <v>73.5</v>
      </c>
      <c r="D39" s="113">
        <f>D37+D38</f>
        <v>64.9</v>
      </c>
      <c r="E39" s="113">
        <f>E37+E38</f>
        <v>66.9</v>
      </c>
      <c r="F39" s="113">
        <f>F37+F38</f>
        <v>56.03355</v>
      </c>
      <c r="G39" s="113">
        <f>G37+G38</f>
        <v>64.23790749999999</v>
      </c>
      <c r="H39" s="113">
        <f>H37+H38</f>
        <v>63.445846675000006</v>
      </c>
      <c r="I39" s="113">
        <f>I37+I38</f>
        <v>63.776047492749996</v>
      </c>
      <c r="J39" s="113">
        <f>J37+J38</f>
        <v>66.9772691521375</v>
      </c>
      <c r="K39" s="113">
        <f>K37+K38</f>
        <v>71.35214823505187</v>
      </c>
      <c r="L39" s="113">
        <f>L37+L38</f>
        <v>76.36844940376993</v>
      </c>
      <c r="M39" s="113">
        <f>M37+M38</f>
        <v>83.41998392273062</v>
      </c>
      <c r="N39" s="113">
        <f>N37+N38</f>
        <v>89.60728908377321</v>
      </c>
      <c r="O39" s="113">
        <f>O37+O38</f>
        <v>95.06913630356428</v>
      </c>
    </row>
    <row r="40">
      <c r="B40" s="60" t="inlineStr">
        <is>
          <t>EBITDA (GAAP: EBIT + D&amp;A)</t>
        </is>
      </c>
      <c r="C40" s="127">
        <f>C20+C39</f>
        <v>91.89999999999998</v>
      </c>
      <c r="D40" s="127">
        <f>D20+D39</f>
        <v>137.13699999999997</v>
      </c>
      <c r="E40" s="127">
        <f>E20+E39</f>
        <v>249.389</v>
      </c>
      <c r="F40" s="127">
        <f>F20+F39</f>
        <v>586.5790076999998</v>
      </c>
      <c r="G40" s="127">
        <f>G20+G39</f>
        <v>817.6653429049998</v>
      </c>
      <c r="H40" s="127">
        <f>H20+H39</f>
        <v>999.9760034864499</v>
      </c>
      <c r="I40" s="127">
        <f>I20+I39</f>
        <v>1134.830911263389</v>
      </c>
      <c r="J40" s="127">
        <f>J20+J39</f>
        <v>1236.2820514841144</v>
      </c>
      <c r="K40" s="127">
        <f>K20+K39</f>
        <v>1304.121621375418</v>
      </c>
      <c r="L40" s="127">
        <f>L20+L39</f>
        <v>1354.9689076995353</v>
      </c>
      <c r="M40" s="127">
        <f>M20+M39</f>
        <v>1389.9170147501086</v>
      </c>
      <c r="N40" s="127">
        <f>N20+N39</f>
        <v>1411.0819282060156</v>
      </c>
      <c r="O40" s="127">
        <f>O20+O39</f>
        <v>1430.8629663139363</v>
      </c>
    </row>
    <row r="41">
      <c r="B41" s="26" t="inlineStr">
        <is>
          <t>Stock-based compensation</t>
        </is>
      </c>
      <c r="C41" s="115" t="n">
        <v>1.5</v>
      </c>
      <c r="D41" s="115" t="n">
        <v>1.784</v>
      </c>
      <c r="E41" s="115" t="n">
        <v>10.036</v>
      </c>
      <c r="F41" s="113">
        <f>F12*Assumptions!F85</f>
        <v>20.01008</v>
      </c>
      <c r="G41" s="113">
        <f>G12*Assumptions!G85</f>
        <v>26.135668</v>
      </c>
      <c r="H41" s="113">
        <f>H12*Assumptions!H85</f>
        <v>31.278883360000005</v>
      </c>
      <c r="I41" s="113">
        <f>I12*Assumptions!I85</f>
        <v>35.58544298400001</v>
      </c>
      <c r="J41" s="113">
        <f>J12*Assumptions!J85</f>
        <v>39.09340250928001</v>
      </c>
      <c r="K41" s="113">
        <f>K12*Assumptions!K85</f>
        <v>42.21918468804961</v>
      </c>
      <c r="L41" s="113">
        <f>L12*Assumptions!L85</f>
        <v>44.90735760208606</v>
      </c>
      <c r="M41" s="113">
        <f>M12*Assumptions!M85</f>
        <v>47.12387470855842</v>
      </c>
      <c r="N41" s="113">
        <f>N12*Assumptions!N85</f>
        <v>48.98761688126759</v>
      </c>
      <c r="O41" s="113">
        <f>O12*Assumptions!O85</f>
        <v>50.45724538770562</v>
      </c>
    </row>
    <row r="42">
      <c r="B42" s="26" t="inlineStr">
        <is>
          <t>IPO / sponsor / integration one-offs</t>
        </is>
      </c>
      <c r="C42" s="115" t="n">
        <v>6.4</v>
      </c>
      <c r="D42" s="115" t="n">
        <v>30.6</v>
      </c>
      <c r="E42" s="115" t="n">
        <v>64.2</v>
      </c>
      <c r="F42" s="115" t="n">
        <v>0</v>
      </c>
      <c r="G42" s="115" t="n">
        <v>0</v>
      </c>
      <c r="H42" s="115" t="n">
        <v>0</v>
      </c>
      <c r="I42" s="115" t="n">
        <v>0</v>
      </c>
      <c r="J42" s="115" t="n">
        <v>0</v>
      </c>
      <c r="K42" s="115" t="n">
        <v>0</v>
      </c>
      <c r="L42" s="115" t="n">
        <v>0</v>
      </c>
      <c r="M42" s="115" t="n">
        <v>0</v>
      </c>
      <c r="N42" s="115" t="n">
        <v>0</v>
      </c>
      <c r="O42" s="115" t="n">
        <v>0</v>
      </c>
      <c r="Q42" s="31" t="inlineStr">
        <is>
          <t>FY26: sponsor fees 18.8 + public-co readiness 21.2 + earnout 5.4 + integration 18.8 (Q4 FY26 release recon)</t>
        </is>
      </c>
    </row>
    <row r="43">
      <c r="B43" s="26" t="inlineStr">
        <is>
          <t>Adj. EBITDA (company definition)</t>
        </is>
      </c>
      <c r="C43" s="115" t="n">
        <v>99.2</v>
      </c>
      <c r="D43" s="115" t="n">
        <v>169.2</v>
      </c>
      <c r="E43" s="115" t="n">
        <v>322.9</v>
      </c>
      <c r="F43" s="113">
        <f>F40+F41+F42</f>
        <v>606.5890876999998</v>
      </c>
      <c r="G43" s="113">
        <f>G40+G41+G42</f>
        <v>843.8010109049998</v>
      </c>
      <c r="H43" s="113">
        <f>H40+H41+H42</f>
        <v>1031.2548868464498</v>
      </c>
      <c r="I43" s="113">
        <f>I40+I41+I42</f>
        <v>1170.416354247389</v>
      </c>
      <c r="J43" s="113">
        <f>J40+J41+J42</f>
        <v>1275.3754539933943</v>
      </c>
      <c r="K43" s="113">
        <f>K40+K41+K42</f>
        <v>1346.3408060634677</v>
      </c>
      <c r="L43" s="113">
        <f>L40+L41+L42</f>
        <v>1399.8762653016213</v>
      </c>
      <c r="M43" s="113">
        <f>M40+M41+M42</f>
        <v>1437.040889458667</v>
      </c>
      <c r="N43" s="113">
        <f>N40+N41+N42</f>
        <v>1460.0695450872831</v>
      </c>
      <c r="O43" s="113">
        <f>O40+O41+O42</f>
        <v>1481.320211701642</v>
      </c>
      <c r="Q43" s="31" t="inlineStr">
        <is>
          <t>History as reported; FY27 guidance $575–625m</t>
        </is>
      </c>
    </row>
    <row r="44">
      <c r="B44" s="60" t="inlineStr">
        <is>
          <t>Capital expenditures</t>
        </is>
      </c>
      <c r="C44" s="65" t="n"/>
      <c r="D44" s="126" t="n">
        <v>-84.11499999999999</v>
      </c>
      <c r="E44" s="126" t="n">
        <v>-115.905</v>
      </c>
      <c r="F44" s="127">
        <f>-SUM(F45:F47)</f>
        <v>-87.01259999999999</v>
      </c>
      <c r="G44" s="127">
        <f>-SUM(G45:G47)</f>
        <v>-39.203502</v>
      </c>
      <c r="H44" s="127">
        <f>-SUM(H45:H47)</f>
        <v>-50.82818546</v>
      </c>
      <c r="I44" s="127">
        <f>-SUM(I45:I47)</f>
        <v>-62.274525222000015</v>
      </c>
      <c r="J44" s="127">
        <f>-SUM(J45:J47)</f>
        <v>-73.30012970490002</v>
      </c>
      <c r="K44" s="127">
        <f>-SUM(K45:K47)</f>
        <v>-81.95115602650557</v>
      </c>
      <c r="L44" s="127">
        <f>-SUM(L45:L47)</f>
        <v>-100.53567953017449</v>
      </c>
      <c r="M44" s="127">
        <f>-SUM(M45:M47)</f>
        <v>-101.82568499634782</v>
      </c>
      <c r="N44" s="127">
        <f>-SUM(N45:N47)</f>
        <v>-103.17660388238038</v>
      </c>
      <c r="O44" s="127">
        <f>-SUM(O45:O47)</f>
        <v>-103.53736942926241</v>
      </c>
    </row>
    <row r="45">
      <c r="B45" s="26" t="inlineStr">
        <is>
          <t xml:space="preserve">   Maintenance</t>
        </is>
      </c>
      <c r="F45" s="113">
        <f>F12*Assumptions!F95</f>
        <v>25.0126</v>
      </c>
      <c r="G45" s="113">
        <f>G12*Assumptions!G95</f>
        <v>39.203502</v>
      </c>
      <c r="H45" s="113">
        <f>H12*Assumptions!H95</f>
        <v>50.82818546</v>
      </c>
      <c r="I45" s="113">
        <f>I12*Assumptions!I95</f>
        <v>62.274525222000015</v>
      </c>
      <c r="J45" s="113">
        <f>J12*Assumptions!J95</f>
        <v>73.30012970490002</v>
      </c>
      <c r="K45" s="113">
        <f>K12*Assumptions!K95</f>
        <v>79.16097129009302</v>
      </c>
      <c r="L45" s="113">
        <f>L12*Assumptions!L95</f>
        <v>84.20129550391135</v>
      </c>
      <c r="M45" s="113">
        <f>M12*Assumptions!M95</f>
        <v>88.35726507854703</v>
      </c>
      <c r="N45" s="113">
        <f>N12*Assumptions!N95</f>
        <v>91.85178165237673</v>
      </c>
      <c r="O45" s="113">
        <f>O12*Assumptions!O95</f>
        <v>94.60733510194802</v>
      </c>
    </row>
    <row r="46">
      <c r="B46" s="26" t="inlineStr">
        <is>
          <t xml:space="preserve">   Committed expansion</t>
        </is>
      </c>
      <c r="F46" s="113">
        <f>Assumptions!F100</f>
        <v>62.0</v>
      </c>
      <c r="G46" s="113">
        <f>Assumptions!G100</f>
        <v>0.0</v>
      </c>
      <c r="H46" s="113">
        <f>Assumptions!H100</f>
        <v>0.0</v>
      </c>
      <c r="I46" s="113">
        <f>Assumptions!I100</f>
        <v>0.0</v>
      </c>
      <c r="J46" s="113">
        <f>Assumptions!J100</f>
        <v>0.0</v>
      </c>
      <c r="K46" s="113">
        <f>Assumptions!K100</f>
        <v>0.0</v>
      </c>
      <c r="L46" s="113">
        <f>Assumptions!L100</f>
        <v>0.0</v>
      </c>
      <c r="M46" s="113">
        <f>Assumptions!M100</f>
        <v>0.0</v>
      </c>
      <c r="N46" s="113">
        <f>Assumptions!N100</f>
        <v>0.0</v>
      </c>
      <c r="O46" s="113">
        <f>Assumptions!O100</f>
        <v>0.0</v>
      </c>
    </row>
    <row r="47">
      <c r="B47" s="26" t="inlineStr">
        <is>
          <t xml:space="preserve">   Capacity-driven growth capex</t>
        </is>
      </c>
      <c r="F47" s="113">
        <f>(F49-Capacity)*CapexIntensity</f>
        <v>0.0</v>
      </c>
      <c r="G47" s="113">
        <f>(G49-F49)*CapexIntensity</f>
        <v>0.0</v>
      </c>
      <c r="H47" s="113">
        <f>(H49-G49)*CapexIntensity</f>
        <v>0.0</v>
      </c>
      <c r="I47" s="113">
        <f>(I49-H49)*CapexIntensity</f>
        <v>0.0</v>
      </c>
      <c r="J47" s="113">
        <f>(J49-I49)*CapexIntensity</f>
        <v>0.0</v>
      </c>
      <c r="K47" s="113">
        <f>(K49-J49)*CapexIntensity</f>
        <v>2.790184736412561</v>
      </c>
      <c r="L47" s="113">
        <f>(L49-K49)*CapexIntensity</f>
        <v>16.334384026263137</v>
      </c>
      <c r="M47" s="113">
        <f>(M49-L49)*CapexIntensity</f>
        <v>13.468419917800787</v>
      </c>
      <c r="N47" s="113">
        <f>(N49-M49)*CapexIntensity</f>
        <v>11.32482223000365</v>
      </c>
      <c r="O47" s="113">
        <f>(O49-N49)*CapexIntensity</f>
        <v>8.930034327314393</v>
      </c>
    </row>
    <row r="49">
      <c r="B49" s="26" t="inlineStr">
        <is>
          <t>Revenue capacity, end of year</t>
        </is>
      </c>
      <c r="F49" s="113">
        <f>MAX(Capacity,F12/Util)</f>
        <v>5800.0</v>
      </c>
      <c r="G49" s="113">
        <f>MAX(F49,G12/Util)</f>
        <v>5800.0</v>
      </c>
      <c r="H49" s="113">
        <f>MAX(G49,H12/Util)</f>
        <v>5800.0</v>
      </c>
      <c r="I49" s="113">
        <f>MAX(H49,I12/Util)</f>
        <v>5800.0</v>
      </c>
      <c r="J49" s="113">
        <f>MAX(I49,J12/Util)</f>
        <v>5800.0</v>
      </c>
      <c r="K49" s="113">
        <f>MAX(J49,K12/Util)</f>
        <v>5863.775651118001</v>
      </c>
      <c r="L49" s="113">
        <f>MAX(K49,L12/Util)</f>
        <v>6237.13300028973</v>
      </c>
      <c r="M49" s="113">
        <f>MAX(L49,M12/Util)</f>
        <v>6544.982598410891</v>
      </c>
      <c r="N49" s="113">
        <f>MAX(M49,N12/Util)</f>
        <v>6803.835677953832</v>
      </c>
      <c r="O49" s="113">
        <f>MAX(N49,O12/Util)</f>
        <v>7007.950748292446</v>
      </c>
      <c r="Q49" s="31" t="inlineStr">
        <is>
          <t>Capacity only expands once revenue / Util exceeds it; growth capex = new capacity x intensity</t>
        </is>
      </c>
    </row>
    <row r="50">
      <c r="B50" s="26" t="inlineStr">
        <is>
          <t>Utilization (revenue / capacity)</t>
        </is>
      </c>
      <c r="F50" s="116">
        <f>F12/F49</f>
        <v>0.431251724137931</v>
      </c>
      <c r="G50" s="116">
        <f>G12/G49</f>
        <v>0.5632687068965517</v>
      </c>
      <c r="H50" s="116">
        <f>H12/H49</f>
        <v>0.6741138655172415</v>
      </c>
      <c r="I50" s="116">
        <f>I12/I49</f>
        <v>0.7669276505172415</v>
      </c>
      <c r="J50" s="116">
        <f>J12/J49</f>
        <v>0.8425302264931036</v>
      </c>
      <c r="K50" s="116">
        <f>K12/K49</f>
        <v>0.9</v>
      </c>
      <c r="L50" s="116">
        <f>L12/L49</f>
        <v>0.9</v>
      </c>
      <c r="M50" s="116">
        <f>M12/M49</f>
        <v>0.9</v>
      </c>
      <c r="N50" s="116">
        <f>N12/N49</f>
        <v>0.9</v>
      </c>
      <c r="O50" s="116">
        <f>O12/O49</f>
        <v>0.9</v>
      </c>
    </row>
    <row r="52">
      <c r="B52" s="26" t="inlineStr">
        <is>
          <t>Net working capital (AR + inv + prepaid − AP − accrued − deposits)</t>
        </is>
      </c>
      <c r="D52" s="113">
        <f>Bal_Sht!D8+Bal_Sht!D9+Bal_Sht!D10-Bal_Sht!D25-Bal_Sht!D26-Bal_Sht!D28</f>
        <v>81.44600000000007</v>
      </c>
      <c r="E52" s="113">
        <f>Bal_Sht!E8+Bal_Sht!E9+Bal_Sht!E10-Bal_Sht!E25-Bal_Sht!E26-Bal_Sht!E28</f>
        <v>179.70999999999998</v>
      </c>
      <c r="F52" s="113">
        <f>Bal_Sht!F8+Bal_Sht!F9+Bal_Sht!F10-Bal_Sht!F25-Bal_Sht!F26-Bal_Sht!F28</f>
        <v>315.8783005479451</v>
      </c>
      <c r="G52" s="113">
        <f>Bal_Sht!G8+Bal_Sht!G9+Bal_Sht!G10-Bal_Sht!G25-Bal_Sht!G26-Bal_Sht!G28</f>
        <v>410.4731967397262</v>
      </c>
      <c r="H52" s="113">
        <f>Bal_Sht!H8+Bal_Sht!H9+Bal_Sht!H10-Bal_Sht!H25-Bal_Sht!H26-Bal_Sht!H28</f>
        <v>489.73947545747944</v>
      </c>
      <c r="I52" s="113">
        <f>Bal_Sht!I8+Bal_Sht!I9+Bal_Sht!I10-Bal_Sht!I25-Bal_Sht!I26-Bal_Sht!I28</f>
        <v>557.1681054059922</v>
      </c>
      <c r="J52" s="113">
        <f>Bal_Sht!J8+Bal_Sht!J9+Bal_Sht!J10-Bal_Sht!J25-Bal_Sht!J26-Bal_Sht!J28</f>
        <v>613.3513866978234</v>
      </c>
      <c r="K52" s="113">
        <f>Bal_Sht!K8+Bal_Sht!K9+Bal_Sht!K10-Bal_Sht!K25-Bal_Sht!K26-Bal_Sht!K28</f>
        <v>665.1112037106063</v>
      </c>
      <c r="L52" s="113">
        <f>Bal_Sht!L8+Bal_Sht!L9+Bal_Sht!L10-Bal_Sht!L25-Bal_Sht!L26-Bal_Sht!L28</f>
        <v>710.3513494119018</v>
      </c>
      <c r="M52" s="113">
        <f>Bal_Sht!M8+Bal_Sht!M9+Bal_Sht!M10-Bal_Sht!M25-Bal_Sht!M26-Bal_Sht!M28</f>
        <v>748.4465538900047</v>
      </c>
      <c r="N52" s="113">
        <f>Bal_Sht!N8+Bal_Sht!N9+Bal_Sht!N10-Bal_Sht!N25-Bal_Sht!N26-Bal_Sht!N28</f>
        <v>781.2015000261038</v>
      </c>
      <c r="O52" s="113">
        <f>Bal_Sht!O8+Bal_Sht!O9+Bal_Sht!O10-Bal_Sht!O25-Bal_Sht!O26-Bal_Sht!O28</f>
        <v>806.2618536112868</v>
      </c>
    </row>
    <row r="53">
      <c r="B53" s="26" t="inlineStr">
        <is>
          <t>Increase / (decrease) in NWC</t>
        </is>
      </c>
      <c r="E53" s="113">
        <f>E52-D52</f>
        <v>98.26399999999991</v>
      </c>
      <c r="F53" s="113">
        <f>F52-E52</f>
        <v>136.16830054794514</v>
      </c>
      <c r="G53" s="113">
        <f>G52-F52</f>
        <v>94.59489619178106</v>
      </c>
      <c r="H53" s="113">
        <f>H52-G52</f>
        <v>79.26627871775327</v>
      </c>
      <c r="I53" s="113">
        <f>I52-H52</f>
        <v>67.42862994851271</v>
      </c>
      <c r="J53" s="113">
        <f>J52-I52</f>
        <v>56.183281291831236</v>
      </c>
      <c r="K53" s="113">
        <f>K52-J52</f>
        <v>51.759817012782946</v>
      </c>
      <c r="L53" s="113">
        <f>L52-K52</f>
        <v>45.24014570129543</v>
      </c>
      <c r="M53" s="113">
        <f>M52-L52</f>
        <v>38.095204478102914</v>
      </c>
      <c r="N53" s="113">
        <f>N52-M52</f>
        <v>32.75494613609908</v>
      </c>
      <c r="O53" s="113">
        <f>O52-N52</f>
        <v>25.060353585183066</v>
      </c>
    </row>
    <row r="55">
      <c r="B55" s="59" t="inlineStr">
        <is>
          <t>Margins</t>
        </is>
      </c>
    </row>
    <row r="56">
      <c r="B56" s="26" t="inlineStr">
        <is>
          <t>Gross margin</t>
        </is>
      </c>
      <c r="C56" s="116">
        <f>C15/C12</f>
        <v>0.3944478972446654</v>
      </c>
      <c r="D56" s="116">
        <f>D15/D12</f>
        <v>0.36918538266674455</v>
      </c>
      <c r="E56" s="116">
        <f>E15/E12</f>
        <v>0.35040797600663076</v>
      </c>
      <c r="F56" s="116">
        <f>F15/F12</f>
        <v>0.36</v>
      </c>
      <c r="G56" s="116">
        <f>G15/G12</f>
        <v>0.36499999999999994</v>
      </c>
      <c r="H56" s="116">
        <f>H15/H12</f>
        <v>0.36799999999999994</v>
      </c>
      <c r="I56" s="116">
        <f>I15/I12</f>
        <v>0.36800000000000005</v>
      </c>
      <c r="J56" s="116">
        <f>J15/J12</f>
        <v>0.36599999999999994</v>
      </c>
      <c r="K56" s="116">
        <f>K15/K12</f>
        <v>0.36199999999999993</v>
      </c>
      <c r="L56" s="116">
        <f>L15/L12</f>
        <v>0.35800000000000004</v>
      </c>
      <c r="M56" s="116">
        <f>M15/M12</f>
        <v>0.354</v>
      </c>
      <c r="N56" s="116">
        <f>N15/N12</f>
        <v>0.35</v>
      </c>
      <c r="O56" s="116">
        <f>O15/O12</f>
        <v>0.348</v>
      </c>
    </row>
    <row r="57">
      <c r="B57" s="26" t="inlineStr">
        <is>
          <t>EBITDA margin (GAAP)</t>
        </is>
      </c>
      <c r="C57" s="116">
        <f>C40/C12</f>
        <v>0.19038740418479383</v>
      </c>
      <c r="D57" s="116">
        <f>D40/D12</f>
        <v>0.18207539153571217</v>
      </c>
      <c r="E57" s="116">
        <f>E40/E12</f>
        <v>0.17561875950224604</v>
      </c>
      <c r="F57" s="116">
        <f>F40/F12</f>
        <v>0.23451340832220555</v>
      </c>
      <c r="G57" s="116">
        <f>G40/G12</f>
        <v>0.25028335771788957</v>
      </c>
      <c r="H57" s="116">
        <f>H40/H12</f>
        <v>0.25575746857133325</v>
      </c>
      <c r="I57" s="116">
        <f>I40/I12</f>
        <v>0.2551225031592011</v>
      </c>
      <c r="J57" s="116">
        <f>J40/J12</f>
        <v>0.25299042234876234</v>
      </c>
      <c r="K57" s="116">
        <f>K40/K12</f>
        <v>0.2471145060732653</v>
      </c>
      <c r="L57" s="116">
        <f>L40/L12</f>
        <v>0.2413802958001864</v>
      </c>
      <c r="M57" s="116">
        <f>M40/M12</f>
        <v>0.23595971652945225</v>
      </c>
      <c r="N57" s="116">
        <f>N40/N12</f>
        <v>0.2304389587476504</v>
      </c>
      <c r="O57" s="116">
        <f>O40/O12</f>
        <v>0.2268634294749003</v>
      </c>
    </row>
    <row r="58">
      <c r="B58" s="26" t="inlineStr">
        <is>
          <t>Adj. EBITDA margin</t>
        </is>
      </c>
      <c r="C58" s="116">
        <f>C43/C12</f>
        <v>0.20551066915268285</v>
      </c>
      <c r="D58" s="116">
        <f>D43/D12</f>
        <v>0.22464510852536151</v>
      </c>
      <c r="E58" s="116">
        <f>E43/E12</f>
        <v>0.22738491851394907</v>
      </c>
      <c r="F58" s="116">
        <f>F43/F12</f>
        <v>0.24251340832220555</v>
      </c>
      <c r="G58" s="116">
        <f>G43/G12</f>
        <v>0.2582833577178895</v>
      </c>
      <c r="H58" s="116">
        <f>H43/H12</f>
        <v>0.2637574685713332</v>
      </c>
      <c r="I58" s="116">
        <f>I43/I12</f>
        <v>0.2631225031592011</v>
      </c>
      <c r="J58" s="116">
        <f>J43/J12</f>
        <v>0.26099042234876235</v>
      </c>
      <c r="K58" s="116">
        <f>K43/K12</f>
        <v>0.2551145060732653</v>
      </c>
      <c r="L58" s="116">
        <f>L43/L12</f>
        <v>0.2493802958001864</v>
      </c>
      <c r="M58" s="116">
        <f>M43/M12</f>
        <v>0.24395971652945223</v>
      </c>
      <c r="N58" s="116">
        <f>N43/N12</f>
        <v>0.2384389587476504</v>
      </c>
      <c r="O58" s="116">
        <f>O43/O12</f>
        <v>0.23486342947490027</v>
      </c>
    </row>
    <row r="59">
      <c r="B59" s="26" t="inlineStr">
        <is>
          <t>Operating (EBIT) margin</t>
        </is>
      </c>
      <c r="C59" s="116">
        <f>C20/C12</f>
        <v>0.03811891443961048</v>
      </c>
      <c r="D59" s="116">
        <f>D20/D12</f>
        <v>0.09590832567698897</v>
      </c>
      <c r="E59" s="116">
        <f>E20/E12</f>
        <v>0.1285080408630909</v>
      </c>
      <c r="F59" s="116">
        <f>F20/F12</f>
        <v>0.21211127899538626</v>
      </c>
      <c r="G59" s="116">
        <f>G20/G12</f>
        <v>0.23062044877674442</v>
      </c>
      <c r="H59" s="116">
        <f>H20/H12</f>
        <v>0.23953033003962065</v>
      </c>
      <c r="I59" s="116">
        <f>I20/I12</f>
        <v>0.24078494439475348</v>
      </c>
      <c r="J59" s="116">
        <f>J20/J12</f>
        <v>0.23928432058159313</v>
      </c>
      <c r="K59" s="116">
        <f>K20/K12</f>
        <v>0.23359417899688792</v>
      </c>
      <c r="L59" s="116">
        <f>L20/L12</f>
        <v>0.22777567446745006</v>
      </c>
      <c r="M59" s="116">
        <f>M20/M12</f>
        <v>0.22179789567942265</v>
      </c>
      <c r="N59" s="116">
        <f>N20/N12</f>
        <v>0.21580549914483588</v>
      </c>
      <c r="O59" s="116">
        <f>O20/O12</f>
        <v>0.21179021086011976</v>
      </c>
    </row>
    <row r="60">
      <c r="B60" s="26" t="inlineStr">
        <is>
          <t>Net income margin</t>
        </is>
      </c>
      <c r="C60" s="116">
        <f>C30/C12</f>
        <v>-0.05821421172570961</v>
      </c>
      <c r="D60" s="116">
        <f>D30/D12</f>
        <v>0.023162875669819442</v>
      </c>
      <c r="E60" s="116">
        <f>E30/E12</f>
        <v>0.074669432748921</v>
      </c>
      <c r="F60" s="116">
        <f>F30/F12</f>
        <v>0.14834670307165185</v>
      </c>
      <c r="G60" s="116">
        <f>G30/G12</f>
        <v>0.16608372600335133</v>
      </c>
      <c r="H60" s="116">
        <f>H30/H12</f>
        <v>0.17633623172020546</v>
      </c>
      <c r="I60" s="116">
        <f>I30/I12</f>
        <v>0.18047438995186224</v>
      </c>
      <c r="J60" s="116">
        <f>J30/J12</f>
        <v>0.18235883074024578</v>
      </c>
      <c r="K60" s="116">
        <f>K30/K12</f>
        <v>0.18099290929282222</v>
      </c>
      <c r="L60" s="116">
        <f>L30/L12</f>
        <v>0.1794363909348369</v>
      </c>
      <c r="M60" s="116">
        <f>M30/M12</f>
        <v>0.17770624390625459</v>
      </c>
      <c r="N60" s="116">
        <f>N30/N12</f>
        <v>0.1759849364747436</v>
      </c>
      <c r="O60" s="116">
        <f>O30/O12</f>
        <v>0.17580117434181095</v>
      </c>
    </row>
    <row r="62">
      <c r="B62" s="59" t="inlineStr">
        <is>
          <t>Growth</t>
        </is>
      </c>
    </row>
    <row r="63">
      <c r="B63" s="26" t="str">
        <f>B8</f>
        <v>Custom products</v>
      </c>
      <c r="E63" s="116">
        <f>E8/D8-1</f>
        <v>0.6771080257365389</v>
      </c>
      <c r="F63" s="116">
        <f>F8/E8-1</f>
        <v>0.54</v>
      </c>
      <c r="G63" s="116">
        <f>G8/F8-1</f>
        <v>0.25</v>
      </c>
      <c r="H63" s="116">
        <f>H8/G8-1</f>
        <v>0.15999999999999992</v>
      </c>
      <c r="I63" s="116">
        <f>I8/H8-1</f>
        <v>0.1100000000000001</v>
      </c>
      <c r="J63" s="116">
        <f>J8/I8-1</f>
        <v>0.08000000000000007</v>
      </c>
      <c r="K63" s="116">
        <f>K8/J8-1</f>
        <v>0.06499999999999995</v>
      </c>
      <c r="L63" s="116">
        <f>L8/K8-1</f>
        <v>0.05499999999999994</v>
      </c>
      <c r="M63" s="116">
        <f>M8/L8-1</f>
        <v>0.04499999999999993</v>
      </c>
      <c r="N63" s="116">
        <f>N8/M8-1</f>
        <v>0.03499999999999992</v>
      </c>
      <c r="O63" s="116">
        <f>O8/N8-1</f>
        <v>0.030000000000000027</v>
      </c>
    </row>
    <row r="64">
      <c r="B64" s="26" t="str">
        <f>B9</f>
        <v>Powertrain solutions (PTS)</v>
      </c>
      <c r="E64" s="116">
        <f>E9/D9-1</f>
        <v>2.5919597989949748</v>
      </c>
      <c r="F64" s="116">
        <f>F9/E9-1</f>
        <v>1.5</v>
      </c>
      <c r="G64" s="116">
        <f>G9/F9-1</f>
        <v>0.41999999999999993</v>
      </c>
      <c r="H64" s="116">
        <f>H9/G9-1</f>
        <v>0.26</v>
      </c>
      <c r="I64" s="116">
        <f>I9/H9-1</f>
        <v>0.17999999999999994</v>
      </c>
      <c r="J64" s="116">
        <f>J9/I9-1</f>
        <v>0.125</v>
      </c>
      <c r="K64" s="116">
        <f>K9/J9-1</f>
        <v>0.10000000000000009</v>
      </c>
      <c r="L64" s="116">
        <f>L9/K9-1</f>
        <v>0.07499999999999996</v>
      </c>
      <c r="M64" s="116">
        <f>M9/L9-1</f>
        <v>0.05499999999999994</v>
      </c>
      <c r="N64" s="116">
        <f>N9/M9-1</f>
        <v>0.04499999999999993</v>
      </c>
      <c r="O64" s="116">
        <f>O9/N9-1</f>
        <v>0.030000000000000027</v>
      </c>
    </row>
    <row r="65">
      <c r="B65" s="26" t="str">
        <f>B10</f>
        <v>Standard products</v>
      </c>
      <c r="E65" s="116">
        <f>E10/D10-1</f>
        <v>0.2283236994219653</v>
      </c>
      <c r="F65" s="116">
        <f>F10/E10-1</f>
        <v>0.10000000000000009</v>
      </c>
      <c r="G65" s="116">
        <f>G10/F10-1</f>
        <v>0.08000000000000007</v>
      </c>
      <c r="H65" s="116">
        <f>H10/G10-1</f>
        <v>0.06000000000000005</v>
      </c>
      <c r="I65" s="116">
        <f>I10/H10-1</f>
        <v>0.050000000000000044</v>
      </c>
      <c r="J65" s="116">
        <f>J10/I10-1</f>
        <v>0.040000000000000036</v>
      </c>
      <c r="K65" s="116">
        <f>K10/J10-1</f>
        <v>0.040000000000000036</v>
      </c>
      <c r="L65" s="116">
        <f>L10/K10-1</f>
        <v>0.03499999999999992</v>
      </c>
      <c r="M65" s="116">
        <f>M10/L10-1</f>
        <v>0.030000000000000027</v>
      </c>
      <c r="N65" s="116">
        <f>N10/M10-1</f>
        <v>0.030000000000000027</v>
      </c>
      <c r="O65" s="116">
        <f>O10/N10-1</f>
        <v>0.030000000000000027</v>
      </c>
    </row>
    <row r="66">
      <c r="B66" s="26" t="str">
        <f>B11</f>
        <v>Services</v>
      </c>
      <c r="E66" s="116">
        <f>E11/D11-1</f>
        <v>0.045774647887323994</v>
      </c>
      <c r="F66" s="116">
        <f>F11/E11-1</f>
        <v>0.19999999999999996</v>
      </c>
      <c r="G66" s="116">
        <f>G11/F11-1</f>
        <v>0.1499999999999999</v>
      </c>
      <c r="H66" s="116">
        <f>H11/G11-1</f>
        <v>0.1200000000000001</v>
      </c>
      <c r="I66" s="116">
        <f>I11/H11-1</f>
        <v>0.10000000000000009</v>
      </c>
      <c r="J66" s="116">
        <f>J11/I11-1</f>
        <v>0.08000000000000007</v>
      </c>
      <c r="K66" s="116">
        <f>K11/J11-1</f>
        <v>0.07000000000000006</v>
      </c>
      <c r="L66" s="116">
        <f>L11/K11-1</f>
        <v>0.06000000000000005</v>
      </c>
      <c r="M66" s="116">
        <f>M11/L11-1</f>
        <v>0.050000000000000044</v>
      </c>
      <c r="N66" s="116">
        <f>N11/M11-1</f>
        <v>0.04499999999999993</v>
      </c>
      <c r="O66" s="116">
        <f>O11/N11-1</f>
        <v>0.030000000000000027</v>
      </c>
    </row>
    <row r="67">
      <c r="B67" s="26" t="inlineStr">
        <is>
          <t>Total revenue</t>
        </is>
      </c>
      <c r="D67" s="116">
        <f>D12/C12-1</f>
        <v>0.5603646157033355</v>
      </c>
      <c r="E67" s="116">
        <f>E12/D12-1</f>
        <v>0.8853978024078981</v>
      </c>
      <c r="F67" s="116">
        <f>F12/E12-1</f>
        <v>0.7613775202297932</v>
      </c>
      <c r="G67" s="116">
        <f>G12/F12-1</f>
        <v>0.30612511294307665</v>
      </c>
      <c r="H67" s="116">
        <f>H12/G12-1</f>
        <v>0.19678912970581064</v>
      </c>
      <c r="I67" s="116">
        <f>I12/H12-1</f>
        <v>0.1376826523643524</v>
      </c>
      <c r="J67" s="116">
        <f>J12/I12-1</f>
        <v>0.09857849814760633</v>
      </c>
      <c r="K67" s="116">
        <f>K12/J12-1</f>
        <v>0.07995676963721943</v>
      </c>
      <c r="L67" s="116">
        <f>L12/K12-1</f>
        <v>0.06367183388070852</v>
      </c>
      <c r="M67" s="116">
        <f>M12/L12-1</f>
        <v>0.04935754907052026</v>
      </c>
      <c r="N67" s="116">
        <f>N12/M12-1</f>
        <v>0.03954984992714716</v>
      </c>
      <c r="O67" s="116">
        <f>O12/N12-1</f>
        <v>0.030000000000000027</v>
      </c>
    </row>
    <row r="68">
      <c r="B68" s="26" t="inlineStr">
        <is>
          <t>EBITDA (GAAP)</t>
        </is>
      </c>
      <c r="E68" s="116">
        <f>E40/D40-1</f>
        <v>0.8185391251084686</v>
      </c>
      <c r="F68" s="116">
        <f>F40/E40-1</f>
        <v>1.3520644763802725</v>
      </c>
      <c r="G68" s="116">
        <f>G40/F40-1</f>
        <v>0.393956026675927</v>
      </c>
      <c r="H68" s="116">
        <f>H40/G40-1</f>
        <v>0.22296488675151283</v>
      </c>
      <c r="I68" s="116">
        <f>I40/H40-1</f>
        <v>0.1348581439022165</v>
      </c>
      <c r="J68" s="116">
        <f>J40/I40-1</f>
        <v>0.08939758268285236</v>
      </c>
      <c r="K68" s="116">
        <f>K40/J40-1</f>
        <v>0.054873861357013665</v>
      </c>
      <c r="L68" s="116">
        <f>L40/K40-1</f>
        <v>0.03898968124651603</v>
      </c>
      <c r="M68" s="116">
        <f>M40/L40-1</f>
        <v>0.025792552767803567</v>
      </c>
      <c r="N68" s="116">
        <f>N40/M40-1</f>
        <v>0.015227465547439367</v>
      </c>
      <c r="O68" s="116">
        <f>O40/N40-1</f>
        <v>0.014018348412320414</v>
      </c>
    </row>
    <row r="69">
      <c r="B69" s="26" t="inlineStr">
        <is>
          <t>Adj. EBITDA</t>
        </is>
      </c>
      <c r="D69" s="116">
        <f>D43/C43-1</f>
        <v>0.7056451612903225</v>
      </c>
      <c r="E69" s="116">
        <f>E43/D43-1</f>
        <v>0.9083924349881796</v>
      </c>
      <c r="F69" s="116">
        <f>F43/E43-1</f>
        <v>0.8785663911427681</v>
      </c>
      <c r="G69" s="116">
        <f>G43/F43-1</f>
        <v>0.39105867219675017</v>
      </c>
      <c r="H69" s="116">
        <f>H43/G43-1</f>
        <v>0.22215412581741356</v>
      </c>
      <c r="I69" s="116">
        <f>I43/H43-1</f>
        <v>0.13494381377090137</v>
      </c>
      <c r="J69" s="116">
        <f>J43/I43-1</f>
        <v>0.08967672005360594</v>
      </c>
      <c r="K69" s="116">
        <f>K43/J43-1</f>
        <v>0.05564271434570123</v>
      </c>
      <c r="L69" s="116">
        <f>L43/K43-1</f>
        <v>0.039763675732807036</v>
      </c>
      <c r="M69" s="116">
        <f>M43/L43-1</f>
        <v>0.026548506520351678</v>
      </c>
      <c r="N69" s="116">
        <f>N43/M43-1</f>
        <v>0.01602505245156327</v>
      </c>
      <c r="O69" s="116">
        <f>O43/N43-1</f>
        <v>0.014554557819427938</v>
      </c>
    </row>
    <row r="70">
      <c r="B70" s="26" t="inlineStr">
        <is>
          <t>Operating income</t>
        </is>
      </c>
      <c r="D70" s="116">
        <f>D20/C20-1</f>
        <v>2.9259239130434813</v>
      </c>
      <c r="E70" s="116">
        <f>E20/D20-1</f>
        <v>1.5262538588258105</v>
      </c>
      <c r="F70" s="116">
        <f>F20/E20-1</f>
        <v>1.9072736312873642</v>
      </c>
      <c r="G70" s="116">
        <f>G20/F20-1</f>
        <v>0.42009968131897546</v>
      </c>
      <c r="H70" s="116">
        <f>H20/G20-1</f>
        <v>0.2430263523759586</v>
      </c>
      <c r="I70" s="116">
        <f>I20/H20-1</f>
        <v>0.14364161792418684</v>
      </c>
      <c r="J70" s="116">
        <f>J20/I20-1</f>
        <v>0.09173191951666215</v>
      </c>
      <c r="K70" s="116">
        <f>K20/J20-1</f>
        <v>0.05427557619478818</v>
      </c>
      <c r="L70" s="116">
        <f>L20/K20-1</f>
        <v>0.03717725507807135</v>
      </c>
      <c r="M70" s="116">
        <f>M20/L20-1</f>
        <v>0.02181805297394912</v>
      </c>
      <c r="N70" s="116">
        <f>N20/M20-1</f>
        <v>0.011463943615225514</v>
      </c>
      <c r="O70" s="116">
        <f>O20/N20-1</f>
        <v>0.010835766698966687</v>
      </c>
    </row>
    <row r="71">
      <c r="B71" s="26" t="inlineStr">
        <is>
          <t>Net income</t>
        </is>
      </c>
      <c r="E71" s="116">
        <f>E30/D30-1</f>
        <v>5.077897512323754</v>
      </c>
      <c r="F71" s="116">
        <f>F30/E30-1</f>
        <v>2.499350917385767</v>
      </c>
      <c r="G71" s="116">
        <f>G30/F30-1</f>
        <v>0.4622915163767298</v>
      </c>
      <c r="H71" s="116">
        <f>H30/G30-1</f>
        <v>0.2706680562535575</v>
      </c>
      <c r="I71" s="116">
        <f>I30/H30-1</f>
        <v>0.16438114074060817</v>
      </c>
      <c r="J71" s="116">
        <f>J30/I30-1</f>
        <v>0.11004941173098337</v>
      </c>
      <c r="K71" s="116">
        <f>K30/J30-1</f>
        <v>0.07186757479017114</v>
      </c>
      <c r="L71" s="116">
        <f>L30/K30-1</f>
        <v>0.05452437753683248</v>
      </c>
      <c r="M71" s="116">
        <f>M30/L30-1</f>
        <v>0.03923951874241305</v>
      </c>
      <c r="N71" s="116">
        <f>N30/M30-1</f>
        <v>0.02948050828347548</v>
      </c>
      <c r="O71" s="116">
        <f>O30/N30-1</f>
        <v>0.02892448182945584</v>
      </c>
      <c r="Q71" s="31" t="inlineStr">
        <is>
          <t>FY25 base is small ($17.4m) — growth optically large</t>
        </is>
      </c>
    </row>
    <row r="72">
      <c r="B72" s="26" t="inlineStr">
        <is>
          <t>Diluted EPS</t>
        </is>
      </c>
      <c r="F72" s="116">
        <f>F36/E36-1</f>
        <v>2.4944895972332395</v>
      </c>
      <c r="G72" s="116">
        <f>G36/F36-1</f>
        <v>0.4622915163767298</v>
      </c>
      <c r="H72" s="116">
        <f>H36/G36-1</f>
        <v>0.2706680562535575</v>
      </c>
      <c r="I72" s="116">
        <f>I36/H36-1</f>
        <v>0.16438114074060817</v>
      </c>
      <c r="J72" s="116">
        <f>J36/I36-1</f>
        <v>0.11004941173098337</v>
      </c>
      <c r="K72" s="116">
        <f>K36/J36-1</f>
        <v>0.07186757479017114</v>
      </c>
      <c r="L72" s="116">
        <f>L36/K36-1</f>
        <v>0.05452437753683248</v>
      </c>
      <c r="M72" s="116">
        <f>M36/L36-1</f>
        <v>0.03923951874241305</v>
      </c>
      <c r="N72" s="116">
        <f>N36/M36-1</f>
        <v>0.02948050828347548</v>
      </c>
      <c r="O72" s="116">
        <f>O36/N36-1</f>
        <v>0.02892448182945584</v>
      </c>
    </row>
    <row r="75">
      <c r="D75" s="32" t="inlineStr">
        <is>
          <t>FY26A unlevered FCF (memo)</t>
        </is>
      </c>
    </row>
    <row r="76">
      <c r="C76" s="26" t="inlineStr">
        <is>
          <t>EBIT</t>
        </is>
      </c>
      <c r="E76" s="113">
        <f>E20</f>
        <v>182.489</v>
      </c>
      <c r="Q76" s="31" t="inlineStr">
        <is>
          <t>GAAP EBIT still includes $64.2m of IPO one-offs</t>
        </is>
      </c>
    </row>
    <row r="77">
      <c r="C77" s="26" t="inlineStr">
        <is>
          <t>Less: tax @ normalized rate</t>
        </is>
      </c>
      <c r="E77" s="113">
        <f>-E76*TaxRate</f>
        <v>-45.62225</v>
      </c>
    </row>
    <row r="78">
      <c r="C78" s="26" t="inlineStr">
        <is>
          <t>NOPAT</t>
        </is>
      </c>
      <c r="E78" s="113">
        <f>E76+E77</f>
        <v>136.86675</v>
      </c>
    </row>
    <row r="79">
      <c r="C79" s="26" t="inlineStr">
        <is>
          <t>Plus: D&amp;A</t>
        </is>
      </c>
      <c r="E79" s="113">
        <f>E39</f>
        <v>66.9</v>
      </c>
    </row>
    <row r="80">
      <c r="C80" s="26" t="inlineStr">
        <is>
          <t>Less: capex</t>
        </is>
      </c>
      <c r="E80" s="113">
        <f>E44</f>
        <v>-115.905</v>
      </c>
    </row>
    <row r="81">
      <c r="C81" s="26" t="inlineStr">
        <is>
          <t>Less: increase in NWC</t>
        </is>
      </c>
      <c r="E81" s="113">
        <f>-E53</f>
        <v>-98.26399999999991</v>
      </c>
    </row>
    <row r="82">
      <c r="B82" s="65" t="n"/>
      <c r="C82" s="26" t="inlineStr">
        <is>
          <t>Unlevered FCF</t>
        </is>
      </c>
      <c r="E82" s="127">
        <f>SUM(E78:E81)</f>
        <v>-10.40224999999991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xSplit="2" ySplit="5" topLeftCell="C6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ColWidth="8.875" defaultRowHeight="15"/>
  <cols>
    <col width="2.95703125" customWidth="1" style="94" min="1" max="1"/>
    <col width="43.98828125" customWidth="1" style="94" min="2" max="2"/>
    <col width="12.5078125" customWidth="1" style="94" min="3" max="15"/>
    <col width="55.01953125" customWidth="1" style="94" min="17" max="17"/>
  </cols>
  <sheetData>
    <row r="1" ht="18.75" customHeight="1" s="94">
      <c r="A1" s="24" t="str">
        <f>"Balance Sheet for "&amp;Name</f>
        <v>Balance Sheet for Forgent Power Solutions, Inc.</v>
      </c>
    </row>
    <row r="2">
      <c r="A2" s="25" t="inlineStr">
        <is>
          <t>(Dollars in Millions unless stated)</t>
        </is>
      </c>
    </row>
    <row r="4">
      <c r="C4" s="25" t="str">
        <f>"Historical — fiscal years ending "&amp;TEXT(FYE,"mmmm d")</f>
        <v>Historical — fiscal years ending June 30</v>
      </c>
      <c r="F4" s="25" t="str">
        <f>"Projected — fiscal years ending "&amp;TEXT(FYE,"mmmm d")</f>
        <v>Projected — fiscal years ending June 30</v>
      </c>
    </row>
    <row r="5">
      <c r="B5" s="52" t="n"/>
      <c r="C5" s="53" t="inlineStr">
        <is>
          <t>n/a</t>
        </is>
      </c>
      <c r="D5" s="53" t="inlineStr">
        <is>
          <t>FY25A</t>
        </is>
      </c>
      <c r="E5" s="53" t="inlineStr">
        <is>
          <t>FY26A</t>
        </is>
      </c>
      <c r="F5" s="53" t="inlineStr">
        <is>
          <t>FY27E</t>
        </is>
      </c>
      <c r="G5" s="53" t="inlineStr">
        <is>
          <t>FY28E</t>
        </is>
      </c>
      <c r="H5" s="53" t="inlineStr">
        <is>
          <t>FY29E</t>
        </is>
      </c>
      <c r="I5" s="53" t="inlineStr">
        <is>
          <t>FY30E</t>
        </is>
      </c>
      <c r="J5" s="53" t="inlineStr">
        <is>
          <t>FY31E</t>
        </is>
      </c>
      <c r="K5" s="53" t="inlineStr">
        <is>
          <t>FY32E</t>
        </is>
      </c>
      <c r="L5" s="53" t="inlineStr">
        <is>
          <t>FY33E</t>
        </is>
      </c>
      <c r="M5" s="53" t="inlineStr">
        <is>
          <t>FY34E</t>
        </is>
      </c>
      <c r="N5" s="53" t="inlineStr">
        <is>
          <t>FY35E</t>
        </is>
      </c>
      <c r="O5" s="53" t="inlineStr">
        <is>
          <t>FY36E</t>
        </is>
      </c>
    </row>
    <row r="6">
      <c r="B6" s="59" t="inlineStr">
        <is>
          <t>Assets</t>
        </is>
      </c>
    </row>
    <row r="7">
      <c r="B7" s="26" t="inlineStr">
        <is>
          <t>Cash &amp; equivalents</t>
        </is>
      </c>
      <c r="D7" s="115" t="n">
        <v>111.322</v>
      </c>
      <c r="E7" s="115" t="n">
        <v>97.477</v>
      </c>
      <c r="F7" s="113">
        <f>Cash_Flow!F41</f>
        <v>315.39340397705456</v>
      </c>
      <c r="G7" s="113">
        <f>Cash_Flow!G41</f>
        <v>808.5572216635934</v>
      </c>
      <c r="H7" s="113">
        <f>Cash_Flow!H41</f>
        <v>1456.6375405356196</v>
      </c>
      <c r="I7" s="113">
        <f>Cash_Flow!I41</f>
        <v>2223.0785150548795</v>
      </c>
      <c r="J7" s="113">
        <f>Cash_Flow!J41</f>
        <v>3084.7941721258267</v>
      </c>
      <c r="K7" s="113">
        <f>Cash_Flow!K41</f>
        <v>4013.826165092274</v>
      </c>
      <c r="L7" s="113">
        <f>Cash_Flow!L41</f>
        <v>4990.5779186839645</v>
      </c>
      <c r="M7" s="113">
        <f>Cash_Flow!M41</f>
        <v>6021.97673443666</v>
      </c>
      <c r="N7" s="113">
        <f>Cash_Flow!N41</f>
        <v>7096.27542099559</v>
      </c>
      <c r="O7" s="113">
        <f>Cash_Flow!O41</f>
        <v>8216.00945382386</v>
      </c>
      <c r="Q7" s="31" t="inlineStr">
        <is>
          <t>10-K balance sheets (XBRL, $000s / 1,000)</t>
        </is>
      </c>
    </row>
    <row r="8">
      <c r="B8" s="26" t="inlineStr">
        <is>
          <t>Accounts receivable, net</t>
        </is>
      </c>
      <c r="D8" s="115" t="n">
        <v>159.97</v>
      </c>
      <c r="E8" s="115" t="n">
        <v>329.628</v>
      </c>
      <c r="F8" s="113">
        <f>Assumptions!F105/365*Inc_Stmt!F12</f>
        <v>582.485205479452</v>
      </c>
      <c r="G8" s="113">
        <f>Assumptions!G105/365*Inc_Stmt!G12</f>
        <v>760.7985547945204</v>
      </c>
      <c r="H8" s="113">
        <f>Assumptions!H105/365*Inc_Stmt!H12</f>
        <v>910.5154402739727</v>
      </c>
      <c r="I8" s="113">
        <f>Assumptions!I105/365*Inc_Stmt!I12</f>
        <v>1035.8776211095892</v>
      </c>
      <c r="J8" s="113">
        <f>Assumptions!J105/365*Inc_Stmt!J12</f>
        <v>1137.992881263288</v>
      </c>
      <c r="K8" s="113">
        <f>Assumptions!K105/365*Inc_Stmt!K12</f>
        <v>1228.9831159192522</v>
      </c>
      <c r="L8" s="113">
        <f>Assumptions!L105/365*Inc_Stmt!L12</f>
        <v>1307.2347247182583</v>
      </c>
      <c r="M8" s="113">
        <f>Assumptions!M105/365*Inc_Stmt!M12</f>
        <v>1371.7566267902278</v>
      </c>
      <c r="N8" s="113">
        <f>Assumptions!N105/365*Inc_Stmt!N12</f>
        <v>1426.0093955163509</v>
      </c>
      <c r="O8" s="113">
        <f>Assumptions!O105/365*Inc_Stmt!O12</f>
        <v>1468.7896773818416</v>
      </c>
    </row>
    <row r="9">
      <c r="B9" s="26" t="inlineStr">
        <is>
          <t>Inventory, net</t>
        </is>
      </c>
      <c r="D9" s="115" t="n">
        <v>117.577</v>
      </c>
      <c r="E9" s="115" t="n">
        <v>249.817</v>
      </c>
      <c r="F9" s="113">
        <f>Assumptions!F110/365*-Inc_Stmt!F14</f>
        <v>434.1913249315068</v>
      </c>
      <c r="G9" s="113">
        <f>Assumptions!G110/365*-Inc_Stmt!G14</f>
        <v>562.6776605547946</v>
      </c>
      <c r="H9" s="113">
        <f>Assumptions!H110/365*-Inc_Stmt!H14</f>
        <v>670.2250596124933</v>
      </c>
      <c r="I9" s="113">
        <f>Assumptions!I110/365*-Inc_Stmt!I14</f>
        <v>762.5034235009974</v>
      </c>
      <c r="J9" s="113">
        <f>Assumptions!J110/365*-Inc_Stmt!J14</f>
        <v>840.3207198279003</v>
      </c>
      <c r="K9" s="113">
        <f>Assumptions!K110/365*-Inc_Stmt!K14</f>
        <v>913.2356655022567</v>
      </c>
      <c r="L9" s="113">
        <f>Assumptions!L110/365*-Inc_Stmt!L14</f>
        <v>977.4732309840361</v>
      </c>
      <c r="M9" s="113">
        <f>Assumptions!M110/365*-Inc_Stmt!M14</f>
        <v>1032.1096859969675</v>
      </c>
      <c r="N9" s="113">
        <f>Assumptions!N110/365*-Inc_Stmt!N14</f>
        <v>1079.5729953114965</v>
      </c>
      <c r="O9" s="113">
        <f>Assumptions!O110/365*-Inc_Stmt!O14</f>
        <v>1115.3816011252131</v>
      </c>
    </row>
    <row r="10">
      <c r="B10" s="26" t="inlineStr">
        <is>
          <t>Prepaid &amp; other current (ex restricted cash)</t>
        </is>
      </c>
      <c r="D10" s="115" t="n">
        <v>56.278</v>
      </c>
      <c r="E10" s="115" t="n">
        <v>116.933</v>
      </c>
      <c r="F10" s="113">
        <f>Assumptions!F120*Inc_Stmt!F12</f>
        <v>205.10332</v>
      </c>
      <c r="G10" s="113">
        <f>Assumptions!G120*Inc_Stmt!G12</f>
        <v>267.890597</v>
      </c>
      <c r="H10" s="113">
        <f>Assumptions!H120*Inc_Stmt!H12</f>
        <v>320.60855444000003</v>
      </c>
      <c r="I10" s="113">
        <f>Assumptions!I120*Inc_Stmt!I12</f>
        <v>364.7507905860001</v>
      </c>
      <c r="J10" s="113">
        <f>Assumptions!J120*Inc_Stmt!J12</f>
        <v>400.70737572012007</v>
      </c>
      <c r="K10" s="113">
        <f>Assumptions!K120*Inc_Stmt!K12</f>
        <v>432.7466430525085</v>
      </c>
      <c r="L10" s="113">
        <f>Assumptions!L120*Inc_Stmt!L12</f>
        <v>460.30041542138207</v>
      </c>
      <c r="M10" s="113">
        <f>Assumptions!M120*Inc_Stmt!M12</f>
        <v>483.0197157627238</v>
      </c>
      <c r="N10" s="113">
        <f>Assumptions!N120*Inc_Stmt!N12</f>
        <v>502.1230730329928</v>
      </c>
      <c r="O10" s="113">
        <f>Assumptions!O120*Inc_Stmt!O12</f>
        <v>517.1867652239825</v>
      </c>
      <c r="Q10" s="31" t="inlineStr">
        <is>
          <t>Reported $141.2m less $24.2m TRA-restricted cash</t>
        </is>
      </c>
    </row>
    <row r="11">
      <c r="B11" s="26" t="inlineStr">
        <is>
          <t>Restricted cash (TRA)</t>
        </is>
      </c>
      <c r="D11" s="115" t="n">
        <v>0</v>
      </c>
      <c r="E11" s="115" t="n">
        <v>24.236</v>
      </c>
      <c r="F11" s="113">
        <f>E11</f>
        <v>24.236</v>
      </c>
      <c r="G11" s="113">
        <f>F11</f>
        <v>24.236</v>
      </c>
      <c r="H11" s="113">
        <f>G11</f>
        <v>24.236</v>
      </c>
      <c r="I11" s="113">
        <f>H11</f>
        <v>24.236</v>
      </c>
      <c r="J11" s="113">
        <f>I11</f>
        <v>24.236</v>
      </c>
      <c r="K11" s="113">
        <f>J11</f>
        <v>24.236</v>
      </c>
      <c r="L11" s="113">
        <f>K11</f>
        <v>24.236</v>
      </c>
      <c r="M11" s="113">
        <f>L11</f>
        <v>24.236</v>
      </c>
      <c r="N11" s="113">
        <f>M11</f>
        <v>24.236</v>
      </c>
      <c r="O11" s="113">
        <f>N11</f>
        <v>24.236</v>
      </c>
    </row>
    <row r="12">
      <c r="B12" s="60" t="inlineStr">
        <is>
          <t>Total current assets</t>
        </is>
      </c>
      <c r="D12" s="127">
        <f>SUM(D7:D11)</f>
        <v>445.14700000000005</v>
      </c>
      <c r="E12" s="127">
        <f>SUM(E7:E11)</f>
        <v>818.091</v>
      </c>
      <c r="F12" s="127">
        <f>SUM(F7:F11)</f>
        <v>1561.4092543880136</v>
      </c>
      <c r="G12" s="127">
        <f>SUM(G7:G11)</f>
        <v>2424.1600340129085</v>
      </c>
      <c r="H12" s="127">
        <f>SUM(H7:H11)</f>
        <v>3382.2225948620853</v>
      </c>
      <c r="I12" s="127">
        <f>SUM(I7:I11)</f>
        <v>4410.446350251466</v>
      </c>
      <c r="J12" s="127">
        <f>SUM(J7:J11)</f>
        <v>5488.051148937135</v>
      </c>
      <c r="K12" s="127">
        <f>SUM(K7:K11)</f>
        <v>6613.027589566292</v>
      </c>
      <c r="L12" s="127">
        <f>SUM(L7:L11)</f>
        <v>7759.822289807642</v>
      </c>
      <c r="M12" s="127">
        <f>SUM(M7:M11)</f>
        <v>8933.09876298658</v>
      </c>
      <c r="N12" s="127">
        <f>SUM(N7:N11)</f>
        <v>10128.216884856432</v>
      </c>
      <c r="O12" s="127">
        <f>SUM(O7:O11)</f>
        <v>11341.603497554897</v>
      </c>
    </row>
    <row r="14">
      <c r="B14" s="26" t="inlineStr">
        <is>
          <t>Gross PP&amp;E</t>
        </is>
      </c>
      <c r="D14" s="115" t="n">
        <v>115.52</v>
      </c>
      <c r="E14" s="115" t="n">
        <v>229.331</v>
      </c>
      <c r="F14" s="113">
        <f>E14-Inc_Stmt!F44</f>
        <v>316.3436</v>
      </c>
      <c r="G14" s="113">
        <f>F14-Inc_Stmt!G44</f>
        <v>355.547102</v>
      </c>
      <c r="H14" s="113">
        <f>G14-Inc_Stmt!H44</f>
        <v>406.37528746</v>
      </c>
      <c r="I14" s="113">
        <f>H14-Inc_Stmt!I44</f>
        <v>468.649812682</v>
      </c>
      <c r="J14" s="113">
        <f>I14-Inc_Stmt!J44</f>
        <v>541.9499423869</v>
      </c>
      <c r="K14" s="113">
        <f>J14-Inc_Stmt!K44</f>
        <v>623.9010984134056</v>
      </c>
      <c r="L14" s="113">
        <f>K14-Inc_Stmt!L44</f>
        <v>724.4367779435802</v>
      </c>
      <c r="M14" s="113">
        <f>L14-Inc_Stmt!M44</f>
        <v>826.262462939928</v>
      </c>
      <c r="N14" s="113">
        <f>M14-Inc_Stmt!N44</f>
        <v>929.4390668223084</v>
      </c>
      <c r="O14" s="113">
        <f>N14-Inc_Stmt!O44</f>
        <v>1032.9764362515707</v>
      </c>
    </row>
    <row r="15">
      <c r="B15" s="26" t="inlineStr">
        <is>
          <t>Accumulated depreciation</t>
        </is>
      </c>
      <c r="D15" s="115" t="n">
        <v>-7.35</v>
      </c>
      <c r="E15" s="115" t="n">
        <v>-24.374</v>
      </c>
      <c r="F15" s="113">
        <f>E15-Inc_Stmt!F37</f>
        <v>-55.117549999999994</v>
      </c>
      <c r="G15" s="113">
        <f>F15-Inc_Stmt!G37</f>
        <v>-94.3014575</v>
      </c>
      <c r="H15" s="113">
        <f>G15-Inc_Stmt!H37</f>
        <v>-133.488304175</v>
      </c>
      <c r="I15" s="113">
        <f>H15-Inc_Stmt!I37</f>
        <v>-174.42135166775</v>
      </c>
      <c r="J15" s="113">
        <f>I15-Inc_Stmt!J37</f>
        <v>-218.5556208198875</v>
      </c>
      <c r="K15" s="113">
        <f>J15-Inc_Stmt!K37</f>
        <v>-267.0647690549394</v>
      </c>
      <c r="L15" s="113">
        <f>K15-Inc_Stmt!L37</f>
        <v>-320.59021845870933</v>
      </c>
      <c r="M15" s="113">
        <f>L15-Inc_Stmt!M37</f>
        <v>-381.16720238143995</v>
      </c>
      <c r="N15" s="113">
        <f>M15-Inc_Stmt!N37</f>
        <v>-447.9314914652132</v>
      </c>
      <c r="O15" s="113">
        <f>N15-Inc_Stmt!O37</f>
        <v>-520.1576277687775</v>
      </c>
    </row>
    <row r="16">
      <c r="B16" s="60" t="inlineStr">
        <is>
          <t>Net PP&amp;E</t>
        </is>
      </c>
      <c r="D16" s="127">
        <f>D14+D15</f>
        <v>108.17</v>
      </c>
      <c r="E16" s="127">
        <f>E14+E15</f>
        <v>204.957</v>
      </c>
      <c r="F16" s="127">
        <f>F14+F15</f>
        <v>261.22605</v>
      </c>
      <c r="G16" s="127">
        <f>G14+G15</f>
        <v>261.2456445</v>
      </c>
      <c r="H16" s="127">
        <f>H14+H15</f>
        <v>272.886983285</v>
      </c>
      <c r="I16" s="127">
        <f>I14+I15</f>
        <v>294.22846101425</v>
      </c>
      <c r="J16" s="127">
        <f>J14+J15</f>
        <v>323.3943215670125</v>
      </c>
      <c r="K16" s="127">
        <f>K14+K15</f>
        <v>356.83632935846623</v>
      </c>
      <c r="L16" s="127">
        <f>L14+L15</f>
        <v>403.84655948487085</v>
      </c>
      <c r="M16" s="127">
        <f>M14+M15</f>
        <v>445.09526055848806</v>
      </c>
      <c r="N16" s="127">
        <f>N14+N15</f>
        <v>481.5075753570952</v>
      </c>
      <c r="O16" s="127">
        <f>O14+O15</f>
        <v>512.8188084827932</v>
      </c>
    </row>
    <row r="17">
      <c r="B17" s="26" t="inlineStr">
        <is>
          <t>Operating lease ROU assets</t>
        </is>
      </c>
      <c r="D17" s="115" t="n">
        <v>117.769</v>
      </c>
      <c r="E17" s="115" t="n">
        <v>108.432</v>
      </c>
      <c r="F17" s="113">
        <f>E17</f>
        <v>108.432</v>
      </c>
      <c r="G17" s="113">
        <f>F17</f>
        <v>108.432</v>
      </c>
      <c r="H17" s="113">
        <f>G17</f>
        <v>108.432</v>
      </c>
      <c r="I17" s="113">
        <f>H17</f>
        <v>108.432</v>
      </c>
      <c r="J17" s="113">
        <f>I17</f>
        <v>108.432</v>
      </c>
      <c r="K17" s="113">
        <f>J17</f>
        <v>108.432</v>
      </c>
      <c r="L17" s="113">
        <f>K17</f>
        <v>108.432</v>
      </c>
      <c r="M17" s="113">
        <f>L17</f>
        <v>108.432</v>
      </c>
      <c r="N17" s="113">
        <f>M17</f>
        <v>108.432</v>
      </c>
      <c r="O17" s="113">
        <f>N17</f>
        <v>108.432</v>
      </c>
    </row>
    <row r="18">
      <c r="B18" s="26" t="inlineStr">
        <is>
          <t>Goodwill</t>
        </is>
      </c>
      <c r="D18" s="115" t="n">
        <v>516.629</v>
      </c>
      <c r="E18" s="115" t="n">
        <v>516.629</v>
      </c>
      <c r="F18" s="113">
        <f>E18</f>
        <v>516.629</v>
      </c>
      <c r="G18" s="113">
        <f>F18</f>
        <v>516.629</v>
      </c>
      <c r="H18" s="113">
        <f>G18</f>
        <v>516.629</v>
      </c>
      <c r="I18" s="113">
        <f>H18</f>
        <v>516.629</v>
      </c>
      <c r="J18" s="113">
        <f>I18</f>
        <v>516.629</v>
      </c>
      <c r="K18" s="113">
        <f>J18</f>
        <v>516.629</v>
      </c>
      <c r="L18" s="113">
        <f>K18</f>
        <v>516.629</v>
      </c>
      <c r="M18" s="113">
        <f>L18</f>
        <v>516.629</v>
      </c>
      <c r="N18" s="113">
        <f>M18</f>
        <v>516.629</v>
      </c>
      <c r="O18" s="113">
        <f>N18</f>
        <v>516.629</v>
      </c>
    </row>
    <row r="19">
      <c r="B19" s="26" t="inlineStr">
        <is>
          <t>Intangible assets, net</t>
        </is>
      </c>
      <c r="D19" s="115" t="n">
        <v>337.271</v>
      </c>
      <c r="E19" s="115" t="n">
        <v>289.49</v>
      </c>
      <c r="F19" s="113">
        <f>E19-Inc_Stmt!F38</f>
        <v>264.2</v>
      </c>
      <c r="G19" s="113">
        <f>F19-Inc_Stmt!G38</f>
        <v>239.146</v>
      </c>
      <c r="H19" s="113">
        <f>G19-Inc_Stmt!H38</f>
        <v>214.887</v>
      </c>
      <c r="I19" s="113">
        <f>H19-Inc_Stmt!I38</f>
        <v>192.044</v>
      </c>
      <c r="J19" s="113">
        <f>I19-Inc_Stmt!J38</f>
        <v>169.20100000000002</v>
      </c>
      <c r="K19" s="113">
        <f>J19-Inc_Stmt!K38</f>
        <v>146.35800000000003</v>
      </c>
      <c r="L19" s="113">
        <f>K19-Inc_Stmt!L38</f>
        <v>123.51500000000003</v>
      </c>
      <c r="M19" s="113">
        <f>L19-Inc_Stmt!M38</f>
        <v>100.67200000000003</v>
      </c>
      <c r="N19" s="113">
        <f>M19-Inc_Stmt!N38</f>
        <v>77.82900000000002</v>
      </c>
      <c r="O19" s="113">
        <f>N19-Inc_Stmt!O38</f>
        <v>54.98600000000002</v>
      </c>
    </row>
    <row r="20">
      <c r="B20" s="26" t="inlineStr">
        <is>
          <t>Deferred tax assets, net</t>
        </is>
      </c>
      <c r="D20" s="115" t="n">
        <v>0</v>
      </c>
      <c r="E20" s="115" t="n">
        <v>280.971</v>
      </c>
      <c r="F20" s="113">
        <f>E20</f>
        <v>280.971</v>
      </c>
      <c r="G20" s="113">
        <f>F20</f>
        <v>280.971</v>
      </c>
      <c r="H20" s="113">
        <f>G20</f>
        <v>280.971</v>
      </c>
      <c r="I20" s="113">
        <f>H20</f>
        <v>280.971</v>
      </c>
      <c r="J20" s="113">
        <f>I20</f>
        <v>280.971</v>
      </c>
      <c r="K20" s="113">
        <f>J20</f>
        <v>280.971</v>
      </c>
      <c r="L20" s="113">
        <f>K20</f>
        <v>280.971</v>
      </c>
      <c r="M20" s="113">
        <f>L20</f>
        <v>280.971</v>
      </c>
      <c r="N20" s="113">
        <f>M20</f>
        <v>280.971</v>
      </c>
      <c r="O20" s="113">
        <f>N20</f>
        <v>280.971</v>
      </c>
    </row>
    <row r="21">
      <c r="B21" s="26" t="inlineStr">
        <is>
          <t>Other long-term assets</t>
        </is>
      </c>
      <c r="D21" s="115" t="n">
        <v>11.7</v>
      </c>
      <c r="E21" s="115" t="n">
        <v>12.195</v>
      </c>
      <c r="F21" s="113">
        <f>E21</f>
        <v>12.195</v>
      </c>
      <c r="G21" s="113">
        <f>F21</f>
        <v>12.195</v>
      </c>
      <c r="H21" s="113">
        <f>G21</f>
        <v>12.195</v>
      </c>
      <c r="I21" s="113">
        <f>H21</f>
        <v>12.195</v>
      </c>
      <c r="J21" s="113">
        <f>I21</f>
        <v>12.195</v>
      </c>
      <c r="K21" s="113">
        <f>J21</f>
        <v>12.195</v>
      </c>
      <c r="L21" s="113">
        <f>K21</f>
        <v>12.195</v>
      </c>
      <c r="M21" s="113">
        <f>L21</f>
        <v>12.195</v>
      </c>
      <c r="N21" s="113">
        <f>M21</f>
        <v>12.195</v>
      </c>
      <c r="O21" s="113">
        <f>N21</f>
        <v>12.195</v>
      </c>
    </row>
    <row r="22">
      <c r="B22" s="60" t="inlineStr">
        <is>
          <t>Total assets</t>
        </is>
      </c>
      <c r="D22" s="127">
        <f>D12+D16+SUM(D17:D21)</f>
        <v>1536.6860000000001</v>
      </c>
      <c r="E22" s="127">
        <f>E12+E16+SUM(E17:E21)</f>
        <v>2230.765</v>
      </c>
      <c r="F22" s="127">
        <f>F12+F16+SUM(F17:F21)</f>
        <v>3005.062304388013</v>
      </c>
      <c r="G22" s="127">
        <f>G12+G16+SUM(G17:G21)</f>
        <v>3842.7786785129083</v>
      </c>
      <c r="H22" s="127">
        <f>H12+H16+SUM(H17:H21)</f>
        <v>4788.223578147085</v>
      </c>
      <c r="I22" s="127">
        <f>I12+I16+SUM(I17:I21)</f>
        <v>5814.945811265716</v>
      </c>
      <c r="J22" s="127">
        <f>J12+J16+SUM(J17:J21)</f>
        <v>6898.873470504147</v>
      </c>
      <c r="K22" s="127">
        <f>K12+K16+SUM(K17:K21)</f>
        <v>8034.448918924758</v>
      </c>
      <c r="L22" s="127">
        <f>L12+L16+SUM(L17:L21)</f>
        <v>9205.410849292513</v>
      </c>
      <c r="M22" s="127">
        <f>M12+M16+SUM(M17:M21)</f>
        <v>10397.093023545067</v>
      </c>
      <c r="N22" s="127">
        <f>N12+N16+SUM(N17:N21)</f>
        <v>11605.780460213527</v>
      </c>
      <c r="O22" s="127">
        <f>O12+O16+SUM(O17:O21)</f>
        <v>12827.63530603769</v>
      </c>
    </row>
    <row r="24">
      <c r="B24" s="59" t="inlineStr">
        <is>
          <t>Liabilities &amp; equity</t>
        </is>
      </c>
    </row>
    <row r="25">
      <c r="B25" s="26" t="inlineStr">
        <is>
          <t>Accounts payable</t>
        </is>
      </c>
      <c r="D25" s="115" t="n">
        <v>61.943</v>
      </c>
      <c r="E25" s="115" t="n">
        <v>130.453</v>
      </c>
      <c r="F25" s="113">
        <f>Assumptions!F115/365*-Inc_Stmt!F14</f>
        <v>228.06008986301367</v>
      </c>
      <c r="G25" s="113">
        <f>Assumptions!G115/365*-Inc_Stmt!G14</f>
        <v>295.54786210958906</v>
      </c>
      <c r="H25" s="113">
        <f>Assumptions!H115/365*-Inc_Stmt!H14</f>
        <v>352.0374050489864</v>
      </c>
      <c r="I25" s="113">
        <f>Assumptions!I115/365*-Inc_Stmt!I14</f>
        <v>400.5068487075946</v>
      </c>
      <c r="J25" s="113">
        <f>Assumptions!J115/365*-Inc_Stmt!J14</f>
        <v>441.38058011162445</v>
      </c>
      <c r="K25" s="113">
        <f>Assumptions!K115/365*-Inc_Stmt!K14</f>
        <v>479.67933945573077</v>
      </c>
      <c r="L25" s="113">
        <f>Assumptions!L115/365*-Inc_Stmt!L14</f>
        <v>513.4202829411099</v>
      </c>
      <c r="M25" s="113">
        <f>Assumptions!M115/365*-Inc_Stmt!M14</f>
        <v>542.1182189074981</v>
      </c>
      <c r="N25" s="113">
        <f>Assumptions!N115/365*-Inc_Stmt!N14</f>
        <v>567.0484419817961</v>
      </c>
      <c r="O25" s="113">
        <f>Assumptions!O115/365*-Inc_Stmt!O14</f>
        <v>585.857002611223</v>
      </c>
    </row>
    <row r="26">
      <c r="B26" s="26" t="inlineStr">
        <is>
          <t>Accrued expenses</t>
        </is>
      </c>
      <c r="D26" s="115" t="n">
        <v>79.541</v>
      </c>
      <c r="E26" s="115" t="n">
        <v>122.356</v>
      </c>
      <c r="F26" s="113">
        <f>Assumptions!F125*Inc_Stmt!F12</f>
        <v>212.6071</v>
      </c>
      <c r="G26" s="113">
        <f>Assumptions!G125*Inc_Stmt!G12</f>
        <v>277.6914725</v>
      </c>
      <c r="H26" s="113">
        <f>Assumptions!H125*Inc_Stmt!H12</f>
        <v>332.33813570000007</v>
      </c>
      <c r="I26" s="113">
        <f>Assumptions!I125*Inc_Stmt!I12</f>
        <v>378.0953317050001</v>
      </c>
      <c r="J26" s="113">
        <f>Assumptions!J125*Inc_Stmt!J12</f>
        <v>415.36740166110013</v>
      </c>
      <c r="K26" s="113">
        <f>Assumptions!K125*Inc_Stmt!K12</f>
        <v>448.57883731052715</v>
      </c>
      <c r="L26" s="113">
        <f>Assumptions!L125*Inc_Stmt!L12</f>
        <v>477.1406745221644</v>
      </c>
      <c r="M26" s="113">
        <f>Assumptions!M125*Inc_Stmt!M12</f>
        <v>500.6911687784332</v>
      </c>
      <c r="N26" s="113">
        <f>Assumptions!N125*Inc_Stmt!N12</f>
        <v>520.4934293634682</v>
      </c>
      <c r="O26" s="113">
        <f>Assumptions!O125*Inc_Stmt!O12</f>
        <v>536.1082322443722</v>
      </c>
    </row>
    <row r="27">
      <c r="B27" s="26" t="inlineStr">
        <is>
          <t>Payables pursuant to acquisitions</t>
        </is>
      </c>
      <c r="D27" s="115" t="n">
        <v>17.226</v>
      </c>
      <c r="E27" s="115" t="n">
        <v>0</v>
      </c>
      <c r="F27" s="115" t="n">
        <v>0</v>
      </c>
      <c r="G27" s="115" t="n">
        <v>0</v>
      </c>
      <c r="H27" s="115" t="n">
        <v>0</v>
      </c>
      <c r="I27" s="115" t="n">
        <v>0</v>
      </c>
      <c r="J27" s="115" t="n">
        <v>0</v>
      </c>
      <c r="K27" s="115" t="n">
        <v>0</v>
      </c>
      <c r="L27" s="115" t="n">
        <v>0</v>
      </c>
      <c r="M27" s="115" t="n">
        <v>0</v>
      </c>
      <c r="N27" s="115" t="n">
        <v>0</v>
      </c>
      <c r="O27" s="115" t="n">
        <v>0</v>
      </c>
    </row>
    <row r="28">
      <c r="B28" s="26" t="inlineStr">
        <is>
          <t>Customer deposits / deferred revenue</t>
        </is>
      </c>
      <c r="D28" s="115" t="n">
        <v>110.895</v>
      </c>
      <c r="E28" s="115" t="n">
        <v>263.859</v>
      </c>
      <c r="F28" s="113">
        <f>Assumptions!F130*Inc_Stmt!F12</f>
        <v>465.23436</v>
      </c>
      <c r="G28" s="113">
        <f>Assumptions!G130*Inc_Stmt!G12</f>
        <v>607.654281</v>
      </c>
      <c r="H28" s="113">
        <f>Assumptions!H130*Inc_Stmt!H12</f>
        <v>727.23403812</v>
      </c>
      <c r="I28" s="113">
        <f>Assumptions!I130*Inc_Stmt!I12</f>
        <v>827.3615493780002</v>
      </c>
      <c r="J28" s="113">
        <f>Assumptions!J130*Inc_Stmt!J12</f>
        <v>908.9216083407601</v>
      </c>
      <c r="K28" s="113">
        <f>Assumptions!K130*Inc_Stmt!K12</f>
        <v>981.5960439971534</v>
      </c>
      <c r="L28" s="113">
        <f>Assumptions!L130*Inc_Stmt!L12</f>
        <v>1044.0960642485009</v>
      </c>
      <c r="M28" s="113">
        <f>Assumptions!M130*Inc_Stmt!M12</f>
        <v>1095.6300869739832</v>
      </c>
      <c r="N28" s="113">
        <f>Assumptions!N130*Inc_Stmt!N12</f>
        <v>1138.9620924894714</v>
      </c>
      <c r="O28" s="113">
        <f>Assumptions!O130*Inc_Stmt!O12</f>
        <v>1173.1309552641555</v>
      </c>
    </row>
    <row r="29">
      <c r="B29" s="26" t="inlineStr">
        <is>
          <t>Operating lease liabilities, current</t>
        </is>
      </c>
      <c r="D29" s="115" t="n">
        <v>6.879</v>
      </c>
      <c r="E29" s="115" t="n">
        <v>8.625999999999999</v>
      </c>
      <c r="F29" s="113">
        <f>E29</f>
        <v>8.626</v>
      </c>
      <c r="G29" s="113">
        <f>F29</f>
        <v>8.626</v>
      </c>
      <c r="H29" s="113">
        <f>G29</f>
        <v>8.626</v>
      </c>
      <c r="I29" s="113">
        <f>H29</f>
        <v>8.626</v>
      </c>
      <c r="J29" s="113">
        <f>I29</f>
        <v>8.626</v>
      </c>
      <c r="K29" s="113">
        <f>J29</f>
        <v>8.626</v>
      </c>
      <c r="L29" s="113">
        <f>K29</f>
        <v>8.626</v>
      </c>
      <c r="M29" s="113">
        <f>L29</f>
        <v>8.626</v>
      </c>
      <c r="N29" s="113">
        <f>M29</f>
        <v>8.626</v>
      </c>
      <c r="O29" s="113">
        <f>N29</f>
        <v>8.626</v>
      </c>
    </row>
    <row r="30">
      <c r="B30" s="26" t="inlineStr">
        <is>
          <t>Current portion of long-term debt</t>
        </is>
      </c>
      <c r="D30" s="115" t="n">
        <v>5.173</v>
      </c>
      <c r="E30" s="115" t="n">
        <v>6</v>
      </c>
      <c r="F30" s="113">
        <f>MIN(TLAmort,Capitalization!F18)</f>
        <v>6.0</v>
      </c>
      <c r="G30" s="113">
        <f>MIN(TLAmort,Capitalization!G18)</f>
        <v>6.0</v>
      </c>
      <c r="H30" s="113">
        <f>MIN(TLAmort,Capitalization!H18)</f>
        <v>6.0</v>
      </c>
      <c r="I30" s="113">
        <f>MIN(TLAmort,Capitalization!I18)</f>
        <v>6.0</v>
      </c>
      <c r="J30" s="113">
        <f>MIN(TLAmort,Capitalization!J18)</f>
        <v>6.0</v>
      </c>
      <c r="K30" s="113">
        <f>MIN(TLAmort,Capitalization!K18)</f>
        <v>6.0</v>
      </c>
      <c r="L30" s="113">
        <f>MIN(TLAmort,Capitalization!L18)</f>
        <v>6.0</v>
      </c>
      <c r="M30" s="113">
        <f>MIN(TLAmort,Capitalization!M18)</f>
        <v>6.0</v>
      </c>
      <c r="N30" s="113">
        <f>MIN(TLAmort,Capitalization!N18)</f>
        <v>6.0</v>
      </c>
      <c r="O30" s="113">
        <f>MIN(TLAmort,Capitalization!O18)</f>
        <v>6.0</v>
      </c>
    </row>
    <row r="31">
      <c r="B31" s="60" t="inlineStr">
        <is>
          <t>Total current liabilities</t>
        </is>
      </c>
      <c r="D31" s="127">
        <f>SUM(D25:D30)</f>
        <v>281.657</v>
      </c>
      <c r="E31" s="127">
        <f>SUM(E25:E30)</f>
        <v>531.294</v>
      </c>
      <c r="F31" s="127">
        <f>SUM(F25:F30)</f>
        <v>920.5275498630136</v>
      </c>
      <c r="G31" s="127">
        <f>SUM(G25:G30)</f>
        <v>1195.519615609589</v>
      </c>
      <c r="H31" s="127">
        <f>SUM(H25:H30)</f>
        <v>1426.2355788689863</v>
      </c>
      <c r="I31" s="127">
        <f>SUM(I25:I30)</f>
        <v>1620.5897297905947</v>
      </c>
      <c r="J31" s="127">
        <f>SUM(J25:J30)</f>
        <v>1780.2955901134849</v>
      </c>
      <c r="K31" s="127">
        <f>SUM(K25:K30)</f>
        <v>1924.4802207634114</v>
      </c>
      <c r="L31" s="127">
        <f>SUM(L25:L30)</f>
        <v>2049.2830217117753</v>
      </c>
      <c r="M31" s="127">
        <f>SUM(M25:M30)</f>
        <v>2153.065474659915</v>
      </c>
      <c r="N31" s="127">
        <f>SUM(N25:N30)</f>
        <v>2241.129963834736</v>
      </c>
      <c r="O31" s="127">
        <f>SUM(O25:O30)</f>
        <v>2309.722190119751</v>
      </c>
    </row>
    <row r="32">
      <c r="B32" s="26" t="inlineStr">
        <is>
          <t>Long-term debt, net of discount</t>
        </is>
      </c>
      <c r="D32" s="115" t="n">
        <v>496.934</v>
      </c>
      <c r="E32" s="115" t="n">
        <v>576.175</v>
      </c>
      <c r="F32" s="113">
        <f>E30+E32-Capitalization!F17-F30</f>
        <v>570.175</v>
      </c>
      <c r="G32" s="113">
        <f>F30+F32-Capitalization!G17-G30</f>
        <v>564.175</v>
      </c>
      <c r="H32" s="113">
        <f>G30+G32-Capitalization!H17-H30</f>
        <v>558.175</v>
      </c>
      <c r="I32" s="113">
        <f>H30+H32-Capitalization!I17-I30</f>
        <v>552.175</v>
      </c>
      <c r="J32" s="113">
        <f>I30+I32-Capitalization!J17-J30</f>
        <v>546.175</v>
      </c>
      <c r="K32" s="113">
        <f>J30+J32-Capitalization!K17-K30</f>
        <v>540.175</v>
      </c>
      <c r="L32" s="113">
        <f>K30+K32-Capitalization!L17-L30</f>
        <v>534.175</v>
      </c>
      <c r="M32" s="113">
        <f>L30+L32-Capitalization!M17-M30</f>
        <v>528.175</v>
      </c>
      <c r="N32" s="113">
        <f>M30+M32-Capitalization!N17-N30</f>
        <v>522.175</v>
      </c>
      <c r="O32" s="113">
        <f>N30+N32-Capitalization!O17-O30</f>
        <v>516.175</v>
      </c>
      <c r="Q32" s="31" t="inlineStr">
        <is>
          <t>Carrying value: OID/fees ($16.3m) held flat; interest computed on principal</t>
        </is>
      </c>
    </row>
    <row r="33">
      <c r="B33" s="26" t="inlineStr">
        <is>
          <t>Tax receivable agreement liability</t>
        </is>
      </c>
      <c r="D33" s="115" t="n">
        <v>0</v>
      </c>
      <c r="E33" s="115" t="n">
        <v>338.925</v>
      </c>
      <c r="F33" s="113">
        <f>E33</f>
        <v>338.925</v>
      </c>
      <c r="G33" s="113">
        <f>F33</f>
        <v>338.925</v>
      </c>
      <c r="H33" s="113">
        <f>G33</f>
        <v>338.925</v>
      </c>
      <c r="I33" s="113">
        <f>H33</f>
        <v>338.925</v>
      </c>
      <c r="J33" s="113">
        <f>I33</f>
        <v>338.925</v>
      </c>
      <c r="K33" s="113">
        <f>J33</f>
        <v>338.925</v>
      </c>
      <c r="L33" s="113">
        <f>K33</f>
        <v>338.925</v>
      </c>
      <c r="M33" s="113">
        <f>L33</f>
        <v>338.925</v>
      </c>
      <c r="N33" s="113">
        <f>M33</f>
        <v>338.925</v>
      </c>
      <c r="O33" s="113">
        <f>N33</f>
        <v>338.925</v>
      </c>
    </row>
    <row r="34">
      <c r="B34" s="26" t="inlineStr">
        <is>
          <t>Deferred tax liabilities</t>
        </is>
      </c>
      <c r="D34" s="115" t="n">
        <v>63.318</v>
      </c>
      <c r="E34" s="115" t="n">
        <v>0</v>
      </c>
      <c r="F34" s="113">
        <f>E34</f>
        <v>0.0</v>
      </c>
      <c r="G34" s="113">
        <f>F34</f>
        <v>0.0</v>
      </c>
      <c r="H34" s="113">
        <f>G34</f>
        <v>0.0</v>
      </c>
      <c r="I34" s="113">
        <f>H34</f>
        <v>0.0</v>
      </c>
      <c r="J34" s="113">
        <f>I34</f>
        <v>0.0</v>
      </c>
      <c r="K34" s="113">
        <f>J34</f>
        <v>0.0</v>
      </c>
      <c r="L34" s="113">
        <f>K34</f>
        <v>0.0</v>
      </c>
      <c r="M34" s="113">
        <f>L34</f>
        <v>0.0</v>
      </c>
      <c r="N34" s="113">
        <f>M34</f>
        <v>0.0</v>
      </c>
      <c r="O34" s="113">
        <f>N34</f>
        <v>0.0</v>
      </c>
    </row>
    <row r="35">
      <c r="B35" s="26" t="inlineStr">
        <is>
          <t>Operating lease liabilities, non-current</t>
        </is>
      </c>
      <c r="D35" s="115" t="n">
        <v>121.491</v>
      </c>
      <c r="E35" s="115" t="n">
        <v>112.97</v>
      </c>
      <c r="F35" s="113">
        <f>E35</f>
        <v>112.97</v>
      </c>
      <c r="G35" s="113">
        <f>F35</f>
        <v>112.97</v>
      </c>
      <c r="H35" s="113">
        <f>G35</f>
        <v>112.97</v>
      </c>
      <c r="I35" s="113">
        <f>H35</f>
        <v>112.97</v>
      </c>
      <c r="J35" s="113">
        <f>I35</f>
        <v>112.97</v>
      </c>
      <c r="K35" s="113">
        <f>J35</f>
        <v>112.97</v>
      </c>
      <c r="L35" s="113">
        <f>K35</f>
        <v>112.97</v>
      </c>
      <c r="M35" s="113">
        <f>L35</f>
        <v>112.97</v>
      </c>
      <c r="N35" s="113">
        <f>M35</f>
        <v>112.97</v>
      </c>
      <c r="O35" s="113">
        <f>N35</f>
        <v>112.97</v>
      </c>
    </row>
    <row r="36">
      <c r="B36" s="60" t="inlineStr">
        <is>
          <t>Total liabilities</t>
        </is>
      </c>
      <c r="D36" s="127">
        <f>D31+SUM(D32:D35)</f>
        <v>963.4000000000001</v>
      </c>
      <c r="E36" s="127">
        <f>E31+SUM(E32:E35)</f>
        <v>1559.364</v>
      </c>
      <c r="F36" s="127">
        <f>F31+SUM(F32:F35)</f>
        <v>1942.5975498630137</v>
      </c>
      <c r="G36" s="127">
        <f>G31+SUM(G32:G35)</f>
        <v>2211.5896156095887</v>
      </c>
      <c r="H36" s="127">
        <f>H31+SUM(H32:H35)</f>
        <v>2436.3055788689862</v>
      </c>
      <c r="I36" s="127">
        <f>I31+SUM(I32:I35)</f>
        <v>2624.6597297905946</v>
      </c>
      <c r="J36" s="127">
        <f>J31+SUM(J32:J35)</f>
        <v>2778.365590113485</v>
      </c>
      <c r="K36" s="127">
        <f>K31+SUM(K32:K35)</f>
        <v>2916.5502207634113</v>
      </c>
      <c r="L36" s="127">
        <f>L31+SUM(L32:L35)</f>
        <v>3035.353021711775</v>
      </c>
      <c r="M36" s="127">
        <f>M31+SUM(M32:M35)</f>
        <v>3133.1354746599145</v>
      </c>
      <c r="N36" s="127">
        <f>N31+SUM(N32:N35)</f>
        <v>3215.199963834736</v>
      </c>
      <c r="O36" s="127">
        <f>O31+SUM(O32:O35)</f>
        <v>3277.7921901197506</v>
      </c>
    </row>
    <row r="38">
      <c r="B38" s="26" t="inlineStr">
        <is>
          <t>Total equity (incl. NCI)</t>
        </is>
      </c>
      <c r="D38" s="115" t="n">
        <v>573.2859999999999</v>
      </c>
      <c r="E38" s="115" t="n">
        <v>671.401</v>
      </c>
      <c r="F38" s="113">
        <f>E38+Inc_Stmt!F30+Inc_Stmt!F41</f>
        <v>1062.4647545249998</v>
      </c>
      <c r="G38" s="113">
        <f>F38+Inc_Stmt!G30+Inc_Stmt!G41</f>
        <v>1631.1890629033192</v>
      </c>
      <c r="H38" s="113">
        <f>G38+Inc_Stmt!H30+Inc_Stmt!H41</f>
        <v>2351.9179992780987</v>
      </c>
      <c r="I38" s="113">
        <f>H38+Inc_Stmt!I30+Inc_Stmt!I41</f>
        <v>3190.286081475121</v>
      </c>
      <c r="J38" s="113">
        <f>I38+Inc_Stmt!J30+Inc_Stmt!J41</f>
        <v>4120.507880390663</v>
      </c>
      <c r="K38" s="113">
        <f>J38+Inc_Stmt!K30+Inc_Stmt!K41</f>
        <v>5117.898698161346</v>
      </c>
      <c r="L38" s="113">
        <f>K38+Inc_Stmt!L30+Inc_Stmt!L41</f>
        <v>6170.057827580737</v>
      </c>
      <c r="M38" s="113">
        <f>L38+Inc_Stmt!M30+Inc_Stmt!M41</f>
        <v>7263.957548885152</v>
      </c>
      <c r="N38" s="113">
        <f>M38+Inc_Stmt!N30+Inc_Stmt!N41</f>
        <v>8390.58049637879</v>
      </c>
      <c r="O38" s="113">
        <f>N38+Inc_Stmt!O30+Inc_Stmt!O41</f>
        <v>9549.843115917944</v>
      </c>
      <c r="Q38" s="31" t="inlineStr">
        <is>
          <t>Roll-forward: + net income + SBC (no dividends / buybacks / TRA payments modeled)</t>
        </is>
      </c>
    </row>
    <row r="40">
      <c r="B40" s="60" t="inlineStr">
        <is>
          <t>Total liabilities &amp; equity</t>
        </is>
      </c>
      <c r="D40" s="127">
        <f>D36+D38</f>
        <v>1536.6860000000001</v>
      </c>
      <c r="E40" s="127">
        <f>E36+E38</f>
        <v>2230.765</v>
      </c>
      <c r="F40" s="127">
        <f>F36+F38</f>
        <v>3005.062304388013</v>
      </c>
      <c r="G40" s="127">
        <f>G36+G38</f>
        <v>3842.778678512908</v>
      </c>
      <c r="H40" s="127">
        <f>H36+H38</f>
        <v>4788.2235781470845</v>
      </c>
      <c r="I40" s="127">
        <f>I36+I38</f>
        <v>5814.945811265716</v>
      </c>
      <c r="J40" s="127">
        <f>J36+J38</f>
        <v>6898.873470504148</v>
      </c>
      <c r="K40" s="127">
        <f>K36+K38</f>
        <v>8034.448918924758</v>
      </c>
      <c r="L40" s="127">
        <f>L36+L38</f>
        <v>9205.410849292512</v>
      </c>
      <c r="M40" s="127">
        <f>M36+M38</f>
        <v>10397.093023545067</v>
      </c>
      <c r="N40" s="127">
        <f>N36+N38</f>
        <v>11605.780460213526</v>
      </c>
      <c r="O40" s="127">
        <f>O36+O38</f>
        <v>12827.635306037693</v>
      </c>
    </row>
    <row r="42">
      <c r="B42" s="66" t="inlineStr">
        <is>
          <t>Balance check (assets − L&amp;E)</t>
        </is>
      </c>
      <c r="D42" s="130">
        <f>ROUND(D22-D40,3)</f>
        <v>0.0</v>
      </c>
      <c r="E42" s="130">
        <f>ROUND(E22-E40,3)</f>
        <v>0.0</v>
      </c>
      <c r="F42" s="130">
        <f>ROUND(F22-F40,3)</f>
        <v>0.0</v>
      </c>
      <c r="G42" s="130">
        <f>ROUND(G22-G40,3)</f>
        <v>0.0</v>
      </c>
      <c r="H42" s="130">
        <f>ROUND(H22-H40,3)</f>
        <v>0.0</v>
      </c>
      <c r="I42" s="130">
        <f>ROUND(I22-I40,3)</f>
        <v>0.0</v>
      </c>
      <c r="J42" s="130">
        <f>ROUND(J22-J40,3)</f>
        <v>-0.0</v>
      </c>
      <c r="K42" s="130">
        <f>ROUND(K22-K40,3)</f>
        <v>0.0</v>
      </c>
      <c r="L42" s="130">
        <f>ROUND(L22-L40,3)</f>
        <v>0.0</v>
      </c>
      <c r="M42" s="130">
        <f>ROUND(M22-M40,3)</f>
        <v>0.0</v>
      </c>
      <c r="N42" s="130">
        <f>ROUND(N22-N40,3)</f>
        <v>0.0</v>
      </c>
      <c r="O42" s="130">
        <f>ROUND(O22-O40,3)</f>
        <v>-0.0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pane xSplit="2" ySplit="5" topLeftCell="C6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ColWidth="8.875" defaultRowHeight="15"/>
  <cols>
    <col width="2.95703125" customWidth="1" style="94" min="1" max="1"/>
    <col width="43.98828125" customWidth="1" style="94" min="2" max="2"/>
    <col width="12.5078125" customWidth="1" style="94" min="3" max="15"/>
    <col width="55.01953125" customWidth="1" style="94" min="17" max="17"/>
  </cols>
  <sheetData>
    <row r="1" ht="18.75" customHeight="1" s="94">
      <c r="A1" s="24" t="str">
        <f>"Cash Flow Statement for "&amp;Name</f>
        <v>Cash Flow Statement for Forgent Power Solutions, Inc.</v>
      </c>
    </row>
    <row r="2">
      <c r="A2" s="25" t="inlineStr">
        <is>
          <t>(Dollars in Millions unless stated)</t>
        </is>
      </c>
    </row>
    <row r="4">
      <c r="C4" s="25" t="str">
        <f>"Historical — fiscal years ending "&amp;TEXT(FYE,"mmmm d")</f>
        <v>Historical — fiscal years ending June 30</v>
      </c>
      <c r="F4" s="25" t="str">
        <f>"Projected — fiscal years ending "&amp;TEXT(FYE,"mmmm d")</f>
        <v>Projected — fiscal years ending June 30</v>
      </c>
    </row>
    <row r="5">
      <c r="B5" s="52" t="n"/>
      <c r="C5" s="53" t="inlineStr">
        <is>
          <t>n/a</t>
        </is>
      </c>
      <c r="D5" s="53" t="inlineStr">
        <is>
          <t>FY25A</t>
        </is>
      </c>
      <c r="E5" s="53" t="inlineStr">
        <is>
          <t>FY26A</t>
        </is>
      </c>
      <c r="F5" s="53" t="inlineStr">
        <is>
          <t>FY27E</t>
        </is>
      </c>
      <c r="G5" s="53" t="inlineStr">
        <is>
          <t>FY28E</t>
        </is>
      </c>
      <c r="H5" s="53" t="inlineStr">
        <is>
          <t>FY29E</t>
        </is>
      </c>
      <c r="I5" s="53" t="inlineStr">
        <is>
          <t>FY30E</t>
        </is>
      </c>
      <c r="J5" s="53" t="inlineStr">
        <is>
          <t>FY31E</t>
        </is>
      </c>
      <c r="K5" s="53" t="inlineStr">
        <is>
          <t>FY32E</t>
        </is>
      </c>
      <c r="L5" s="53" t="inlineStr">
        <is>
          <t>FY33E</t>
        </is>
      </c>
      <c r="M5" s="53" t="inlineStr">
        <is>
          <t>FY34E</t>
        </is>
      </c>
      <c r="N5" s="53" t="inlineStr">
        <is>
          <t>FY35E</t>
        </is>
      </c>
      <c r="O5" s="53" t="inlineStr">
        <is>
          <t>FY36E</t>
        </is>
      </c>
    </row>
    <row r="6">
      <c r="B6" s="59" t="inlineStr">
        <is>
          <t>Cash flow from operations</t>
        </is>
      </c>
    </row>
    <row r="7">
      <c r="B7" s="26" t="inlineStr">
        <is>
          <t>Net income (incl. NCI)</t>
        </is>
      </c>
      <c r="D7" s="115" t="n">
        <v>17.446</v>
      </c>
      <c r="E7" s="115" t="n">
        <v>106.035</v>
      </c>
      <c r="F7" s="113">
        <f>Inc_Stmt!F30</f>
        <v>371.05367452499985</v>
      </c>
      <c r="G7" s="113">
        <f>Inc_Stmt!G30</f>
        <v>542.5886403783196</v>
      </c>
      <c r="H7" s="113">
        <f>Inc_Stmt!H30</f>
        <v>689.4500530147799</v>
      </c>
      <c r="I7" s="113">
        <f>Inc_Stmt!I30</f>
        <v>802.7826392130222</v>
      </c>
      <c r="J7" s="113">
        <f>Inc_Stmt!J30</f>
        <v>891.1283964062616</v>
      </c>
      <c r="K7" s="113">
        <f>Inc_Stmt!K30</f>
        <v>955.1716330826339</v>
      </c>
      <c r="L7" s="113">
        <f>Inc_Stmt!L30</f>
        <v>1007.2517718173042</v>
      </c>
      <c r="M7" s="113">
        <f>Inc_Stmt!M30</f>
        <v>1046.775846595858</v>
      </c>
      <c r="N7" s="113">
        <f>Inc_Stmt!N30</f>
        <v>1077.6353306123692</v>
      </c>
      <c r="O7" s="113">
        <f>Inc_Stmt!O30</f>
        <v>1108.8053741514464</v>
      </c>
      <c r="Q7" s="31" t="inlineStr">
        <is>
          <t>10-K cash flow statement (XBRL)</t>
        </is>
      </c>
    </row>
    <row r="8">
      <c r="B8" s="26" t="inlineStr">
        <is>
          <t>Depreciation &amp; amortization</t>
        </is>
      </c>
      <c r="D8" s="115" t="n">
        <v>64.864</v>
      </c>
      <c r="E8" s="115" t="n">
        <v>66.899</v>
      </c>
      <c r="F8" s="113">
        <f>Inc_Stmt!F39</f>
        <v>56.03355</v>
      </c>
      <c r="G8" s="113">
        <f>Inc_Stmt!G39</f>
        <v>64.23790749999999</v>
      </c>
      <c r="H8" s="113">
        <f>Inc_Stmt!H39</f>
        <v>63.445846675000006</v>
      </c>
      <c r="I8" s="113">
        <f>Inc_Stmt!I39</f>
        <v>63.776047492749996</v>
      </c>
      <c r="J8" s="113">
        <f>Inc_Stmt!J39</f>
        <v>66.9772691521375</v>
      </c>
      <c r="K8" s="113">
        <f>Inc_Stmt!K39</f>
        <v>71.35214823505187</v>
      </c>
      <c r="L8" s="113">
        <f>Inc_Stmt!L39</f>
        <v>76.36844940376993</v>
      </c>
      <c r="M8" s="113">
        <f>Inc_Stmt!M39</f>
        <v>83.41998392273062</v>
      </c>
      <c r="N8" s="113">
        <f>Inc_Stmt!N39</f>
        <v>89.60728908377321</v>
      </c>
      <c r="O8" s="113">
        <f>Inc_Stmt!O39</f>
        <v>95.06913630356428</v>
      </c>
    </row>
    <row r="9">
      <c r="B9" s="26" t="inlineStr">
        <is>
          <t>Amortization / write-off of debt costs</t>
        </is>
      </c>
      <c r="D9" s="115" t="n">
        <v>2.511</v>
      </c>
      <c r="E9" s="115" t="n">
        <v>12.987</v>
      </c>
      <c r="F9" s="115" t="n">
        <v>0</v>
      </c>
      <c r="G9" s="115" t="n">
        <v>0</v>
      </c>
      <c r="H9" s="115" t="n">
        <v>0</v>
      </c>
      <c r="I9" s="115" t="n">
        <v>0</v>
      </c>
      <c r="J9" s="115" t="n">
        <v>0</v>
      </c>
      <c r="K9" s="115" t="n">
        <v>0</v>
      </c>
      <c r="L9" s="115" t="n">
        <v>0</v>
      </c>
      <c r="M9" s="115" t="n">
        <v>0</v>
      </c>
      <c r="N9" s="115" t="n">
        <v>0</v>
      </c>
      <c r="O9" s="115" t="n">
        <v>0</v>
      </c>
    </row>
    <row r="10">
      <c r="B10" s="26" t="inlineStr">
        <is>
          <t>Deferred income taxes</t>
        </is>
      </c>
      <c r="D10" s="115" t="n">
        <v>-15.733</v>
      </c>
      <c r="E10" s="115" t="n">
        <v>14.635</v>
      </c>
      <c r="F10" s="115" t="n">
        <v>0</v>
      </c>
      <c r="G10" s="115" t="n">
        <v>0</v>
      </c>
      <c r="H10" s="115" t="n">
        <v>0</v>
      </c>
      <c r="I10" s="115" t="n">
        <v>0</v>
      </c>
      <c r="J10" s="115" t="n">
        <v>0</v>
      </c>
      <c r="K10" s="115" t="n">
        <v>0</v>
      </c>
      <c r="L10" s="115" t="n">
        <v>0</v>
      </c>
      <c r="M10" s="115" t="n">
        <v>0</v>
      </c>
      <c r="N10" s="115" t="n">
        <v>0</v>
      </c>
      <c r="O10" s="115" t="n">
        <v>0</v>
      </c>
    </row>
    <row r="11">
      <c r="B11" s="26" t="inlineStr">
        <is>
          <t>Stock-based compensation</t>
        </is>
      </c>
      <c r="D11" s="115" t="n">
        <v>1.784</v>
      </c>
      <c r="E11" s="115" t="n">
        <v>10.036</v>
      </c>
      <c r="F11" s="113">
        <f>Inc_Stmt!F41</f>
        <v>20.01008</v>
      </c>
      <c r="G11" s="113">
        <f>Inc_Stmt!G41</f>
        <v>26.135668</v>
      </c>
      <c r="H11" s="113">
        <f>Inc_Stmt!H41</f>
        <v>31.278883360000005</v>
      </c>
      <c r="I11" s="113">
        <f>Inc_Stmt!I41</f>
        <v>35.58544298400001</v>
      </c>
      <c r="J11" s="113">
        <f>Inc_Stmt!J41</f>
        <v>39.09340250928001</v>
      </c>
      <c r="K11" s="113">
        <f>Inc_Stmt!K41</f>
        <v>42.21918468804961</v>
      </c>
      <c r="L11" s="113">
        <f>Inc_Stmt!L41</f>
        <v>44.90735760208606</v>
      </c>
      <c r="M11" s="113">
        <f>Inc_Stmt!M41</f>
        <v>47.12387470855842</v>
      </c>
      <c r="N11" s="113">
        <f>Inc_Stmt!N41</f>
        <v>48.98761688126759</v>
      </c>
      <c r="O11" s="113">
        <f>Inc_Stmt!O41</f>
        <v>50.45724538770562</v>
      </c>
    </row>
    <row r="12">
      <c r="B12" s="26" t="inlineStr">
        <is>
          <t>Other non-cash items</t>
        </is>
      </c>
      <c r="D12" s="115" t="n">
        <v>8.153</v>
      </c>
      <c r="E12" s="115" t="n">
        <v>23.005</v>
      </c>
      <c r="F12" s="115" t="n">
        <v>0</v>
      </c>
      <c r="G12" s="115" t="n">
        <v>0</v>
      </c>
      <c r="H12" s="115" t="n">
        <v>0</v>
      </c>
      <c r="I12" s="115" t="n">
        <v>0</v>
      </c>
      <c r="J12" s="115" t="n">
        <v>0</v>
      </c>
      <c r="K12" s="115" t="n">
        <v>0</v>
      </c>
      <c r="L12" s="115" t="n">
        <v>0</v>
      </c>
      <c r="M12" s="115" t="n">
        <v>0</v>
      </c>
      <c r="N12" s="115" t="n">
        <v>0</v>
      </c>
      <c r="O12" s="115" t="n">
        <v>0</v>
      </c>
      <c r="Q12" s="31" t="inlineStr">
        <is>
          <t>Derived: reported CFO less all other listed lines (credit loss, inventory provisions, ROU amortization)</t>
        </is>
      </c>
    </row>
    <row r="14">
      <c r="B14" s="26" t="inlineStr">
        <is>
          <t>(Increase) / decrease in A/R</t>
        </is>
      </c>
      <c r="D14" s="115" t="n">
        <v>-78.51000000000001</v>
      </c>
      <c r="E14" s="115" t="n">
        <v>-172.657</v>
      </c>
      <c r="F14" s="113">
        <f>-(Bal_Sht!F8-Bal_Sht!E8)</f>
        <v>-252.85720547945203</v>
      </c>
      <c r="G14" s="113">
        <f>-(Bal_Sht!G8-Bal_Sht!F8)</f>
        <v>-178.31334931506842</v>
      </c>
      <c r="H14" s="113">
        <f>-(Bal_Sht!H8-Bal_Sht!G8)</f>
        <v>-149.71688547945223</v>
      </c>
      <c r="I14" s="113">
        <f>-(Bal_Sht!I8-Bal_Sht!H8)</f>
        <v>-125.36218083561653</v>
      </c>
      <c r="J14" s="113">
        <f>-(Bal_Sht!J8-Bal_Sht!I8)</f>
        <v>-102.11526015369873</v>
      </c>
      <c r="K14" s="113">
        <f>-(Bal_Sht!K8-Bal_Sht!J8)</f>
        <v>-90.99023465596429</v>
      </c>
      <c r="L14" s="113">
        <f>-(Bal_Sht!L8-Bal_Sht!K8)</f>
        <v>-78.25160879900614</v>
      </c>
      <c r="M14" s="113">
        <f>-(Bal_Sht!M8-Bal_Sht!L8)</f>
        <v>-64.52190207196941</v>
      </c>
      <c r="N14" s="113">
        <f>-(Bal_Sht!N8-Bal_Sht!M8)</f>
        <v>-54.25276872612312</v>
      </c>
      <c r="O14" s="113">
        <f>-(Bal_Sht!O8-Bal_Sht!N8)</f>
        <v>-42.78028186549068</v>
      </c>
    </row>
    <row r="15">
      <c r="B15" s="26" t="inlineStr">
        <is>
          <t>(Increase) / decrease in inventory</t>
        </is>
      </c>
      <c r="D15" s="115" t="n">
        <v>-34.47</v>
      </c>
      <c r="E15" s="115" t="n">
        <v>-142.909</v>
      </c>
      <c r="F15" s="113">
        <f>-(Bal_Sht!F9-Bal_Sht!E9)</f>
        <v>-184.3743249315068</v>
      </c>
      <c r="G15" s="113">
        <f>-(Bal_Sht!G9-Bal_Sht!F9)</f>
        <v>-128.48633562328774</v>
      </c>
      <c r="H15" s="113">
        <f>-(Bal_Sht!H9-Bal_Sht!G9)</f>
        <v>-107.54739905769873</v>
      </c>
      <c r="I15" s="113">
        <f>-(Bal_Sht!I9-Bal_Sht!H9)</f>
        <v>-92.27836388850415</v>
      </c>
      <c r="J15" s="113">
        <f>-(Bal_Sht!J9-Bal_Sht!I9)</f>
        <v>-77.81729632690292</v>
      </c>
      <c r="K15" s="113">
        <f>-(Bal_Sht!K9-Bal_Sht!J9)</f>
        <v>-72.91494567435632</v>
      </c>
      <c r="L15" s="113">
        <f>-(Bal_Sht!L9-Bal_Sht!K9)</f>
        <v>-64.23756548177948</v>
      </c>
      <c r="M15" s="113">
        <f>-(Bal_Sht!M9-Bal_Sht!L9)</f>
        <v>-54.63645501293138</v>
      </c>
      <c r="N15" s="113">
        <f>-(Bal_Sht!N9-Bal_Sht!M9)</f>
        <v>-47.46330931452894</v>
      </c>
      <c r="O15" s="113">
        <f>-(Bal_Sht!O9-Bal_Sht!N9)</f>
        <v>-35.80860581371667</v>
      </c>
    </row>
    <row r="16">
      <c r="B16" s="26" t="inlineStr">
        <is>
          <t>(Increase) / decrease in prepaid &amp; other</t>
        </is>
      </c>
      <c r="D16" s="115" t="n">
        <v>-18.493</v>
      </c>
      <c r="E16" s="115" t="n">
        <v>-66.465</v>
      </c>
      <c r="F16" s="113">
        <f>-(Bal_Sht!F10-Bal_Sht!E10)</f>
        <v>-88.17031999999999</v>
      </c>
      <c r="G16" s="113">
        <f>-(Bal_Sht!G10-Bal_Sht!F10)</f>
        <v>-62.78727700000002</v>
      </c>
      <c r="H16" s="113">
        <f>-(Bal_Sht!H10-Bal_Sht!G10)</f>
        <v>-52.71795744000002</v>
      </c>
      <c r="I16" s="113">
        <f>-(Bal_Sht!I10-Bal_Sht!H10)</f>
        <v>-44.14223614600007</v>
      </c>
      <c r="J16" s="113">
        <f>-(Bal_Sht!J10-Bal_Sht!I10)</f>
        <v>-35.95658513411996</v>
      </c>
      <c r="K16" s="113">
        <f>-(Bal_Sht!K10-Bal_Sht!J10)</f>
        <v>-32.03926733238842</v>
      </c>
      <c r="L16" s="113">
        <f>-(Bal_Sht!L10-Bal_Sht!K10)</f>
        <v>-27.55377236887358</v>
      </c>
      <c r="M16" s="113">
        <f>-(Bal_Sht!M10-Bal_Sht!L10)</f>
        <v>-22.71930034134175</v>
      </c>
      <c r="N16" s="113">
        <f>-(Bal_Sht!N10-Bal_Sht!M10)</f>
        <v>-19.103357270268987</v>
      </c>
      <c r="O16" s="113">
        <f>-(Bal_Sht!O10-Bal_Sht!N10)</f>
        <v>-15.063692190989741</v>
      </c>
    </row>
    <row r="17">
      <c r="B17" s="26" t="inlineStr">
        <is>
          <t>Increase / (decrease) in A/P</t>
        </is>
      </c>
      <c r="D17" s="115" t="n">
        <v>35.183</v>
      </c>
      <c r="E17" s="115" t="n">
        <v>68.51000000000001</v>
      </c>
      <c r="F17" s="113">
        <f>Bal_Sht!F25-Bal_Sht!E25</f>
        <v>97.60708986301367</v>
      </c>
      <c r="G17" s="113">
        <f>Bal_Sht!G25-Bal_Sht!F25</f>
        <v>67.48777224657539</v>
      </c>
      <c r="H17" s="113">
        <f>Bal_Sht!H25-Bal_Sht!G25</f>
        <v>56.489542939397325</v>
      </c>
      <c r="I17" s="113">
        <f>Bal_Sht!I25-Bal_Sht!H25</f>
        <v>48.46944365860821</v>
      </c>
      <c r="J17" s="113">
        <f>Bal_Sht!J25-Bal_Sht!I25</f>
        <v>40.873731404029854</v>
      </c>
      <c r="K17" s="113">
        <f>Bal_Sht!K25-Bal_Sht!J25</f>
        <v>38.298759344106315</v>
      </c>
      <c r="L17" s="113">
        <f>Bal_Sht!L25-Bal_Sht!K25</f>
        <v>33.74094348537915</v>
      </c>
      <c r="M17" s="113">
        <f>Bal_Sht!M25-Bal_Sht!L25</f>
        <v>28.697935966388172</v>
      </c>
      <c r="N17" s="113">
        <f>Bal_Sht!N25-Bal_Sht!M25</f>
        <v>24.930223074298056</v>
      </c>
      <c r="O17" s="113">
        <f>Bal_Sht!O25-Bal_Sht!N25</f>
        <v>18.808560629426893</v>
      </c>
    </row>
    <row r="18">
      <c r="B18" s="26" t="inlineStr">
        <is>
          <t>Increase / (decrease) in accrued expenses</t>
        </is>
      </c>
      <c r="D18" s="115" t="n">
        <v>44.481</v>
      </c>
      <c r="E18" s="115" t="n">
        <v>42.815</v>
      </c>
      <c r="F18" s="113">
        <f>Bal_Sht!F26-Bal_Sht!E26</f>
        <v>90.25110000000001</v>
      </c>
      <c r="G18" s="113">
        <f>Bal_Sht!G26-Bal_Sht!F26</f>
        <v>65.08437249999997</v>
      </c>
      <c r="H18" s="113">
        <f>Bal_Sht!H26-Bal_Sht!G26</f>
        <v>54.64666320000009</v>
      </c>
      <c r="I18" s="113">
        <f>Bal_Sht!I26-Bal_Sht!H26</f>
        <v>45.757196005000026</v>
      </c>
      <c r="J18" s="113">
        <f>Bal_Sht!J26-Bal_Sht!I26</f>
        <v>37.27206995610004</v>
      </c>
      <c r="K18" s="113">
        <f>Bal_Sht!K26-Bal_Sht!J26</f>
        <v>33.21143564942702</v>
      </c>
      <c r="L18" s="113">
        <f>Bal_Sht!L26-Bal_Sht!K26</f>
        <v>28.561837211637226</v>
      </c>
      <c r="M18" s="113">
        <f>Bal_Sht!M26-Bal_Sht!L26</f>
        <v>23.55049425626885</v>
      </c>
      <c r="N18" s="113">
        <f>Bal_Sht!N26-Bal_Sht!M26</f>
        <v>19.802260585034958</v>
      </c>
      <c r="O18" s="113">
        <f>Bal_Sht!O26-Bal_Sht!N26</f>
        <v>15.614802880903994</v>
      </c>
    </row>
    <row r="19">
      <c r="B19" s="26" t="inlineStr">
        <is>
          <t>Increase / (decrease) in customer deposits</t>
        </is>
      </c>
      <c r="D19" s="115" t="n">
        <v>20.747</v>
      </c>
      <c r="E19" s="115" t="n">
        <v>152.964</v>
      </c>
      <c r="F19" s="113">
        <f>Bal_Sht!F28-Bal_Sht!E28</f>
        <v>201.37536</v>
      </c>
      <c r="G19" s="113">
        <f>Bal_Sht!G28-Bal_Sht!F28</f>
        <v>142.419921</v>
      </c>
      <c r="H19" s="113">
        <f>Bal_Sht!H28-Bal_Sht!G28</f>
        <v>119.57975712000007</v>
      </c>
      <c r="I19" s="113">
        <f>Bal_Sht!I28-Bal_Sht!H28</f>
        <v>100.12751125800014</v>
      </c>
      <c r="J19" s="113">
        <f>Bal_Sht!J28-Bal_Sht!I28</f>
        <v>81.56005896275997</v>
      </c>
      <c r="K19" s="113">
        <f>Bal_Sht!K28-Bal_Sht!J28</f>
        <v>72.67443565639326</v>
      </c>
      <c r="L19" s="113">
        <f>Bal_Sht!L28-Bal_Sht!K28</f>
        <v>62.50002025134745</v>
      </c>
      <c r="M19" s="113">
        <f>Bal_Sht!M28-Bal_Sht!L28</f>
        <v>51.53402272548237</v>
      </c>
      <c r="N19" s="113">
        <f>Bal_Sht!N28-Bal_Sht!M28</f>
        <v>43.33200551548816</v>
      </c>
      <c r="O19" s="113">
        <f>Bal_Sht!O28-Bal_Sht!N28</f>
        <v>34.16886277468416</v>
      </c>
    </row>
    <row r="20">
      <c r="B20" s="26" t="inlineStr">
        <is>
          <t>Operating lease &amp; other</t>
        </is>
      </c>
      <c r="D20" s="115" t="n">
        <v>-2.941</v>
      </c>
      <c r="E20" s="115" t="n">
        <v>-6.774</v>
      </c>
      <c r="F20" s="113">
        <f>(Bal_Sht!F29-Bal_Sht!E29)+(Bal_Sht!F35-Bal_Sht!E35)-(Bal_Sht!F17-Bal_Sht!E17)</f>
        <v>0.0</v>
      </c>
      <c r="G20" s="113">
        <f>(Bal_Sht!G29-Bal_Sht!F29)+(Bal_Sht!G35-Bal_Sht!F35)-(Bal_Sht!G17-Bal_Sht!F17)</f>
        <v>0.0</v>
      </c>
      <c r="H20" s="113">
        <f>(Bal_Sht!H29-Bal_Sht!G29)+(Bal_Sht!H35-Bal_Sht!G35)-(Bal_Sht!H17-Bal_Sht!G17)</f>
        <v>0.0</v>
      </c>
      <c r="I20" s="113">
        <f>(Bal_Sht!I29-Bal_Sht!H29)+(Bal_Sht!I35-Bal_Sht!H35)-(Bal_Sht!I17-Bal_Sht!H17)</f>
        <v>0.0</v>
      </c>
      <c r="J20" s="113">
        <f>(Bal_Sht!J29-Bal_Sht!I29)+(Bal_Sht!J35-Bal_Sht!I35)-(Bal_Sht!J17-Bal_Sht!I17)</f>
        <v>0.0</v>
      </c>
      <c r="K20" s="113">
        <f>(Bal_Sht!K29-Bal_Sht!J29)+(Bal_Sht!K35-Bal_Sht!J35)-(Bal_Sht!K17-Bal_Sht!J17)</f>
        <v>0.0</v>
      </c>
      <c r="L20" s="113">
        <f>(Bal_Sht!L29-Bal_Sht!K29)+(Bal_Sht!L35-Bal_Sht!K35)-(Bal_Sht!L17-Bal_Sht!K17)</f>
        <v>0.0</v>
      </c>
      <c r="M20" s="113">
        <f>(Bal_Sht!M29-Bal_Sht!L29)+(Bal_Sht!M35-Bal_Sht!L35)-(Bal_Sht!M17-Bal_Sht!L17)</f>
        <v>0.0</v>
      </c>
      <c r="N20" s="113">
        <f>(Bal_Sht!N29-Bal_Sht!M29)+(Bal_Sht!N35-Bal_Sht!M35)-(Bal_Sht!N17-Bal_Sht!M17)</f>
        <v>0.0</v>
      </c>
      <c r="O20" s="113">
        <f>(Bal_Sht!O29-Bal_Sht!N29)+(Bal_Sht!O35-Bal_Sht!N35)-(Bal_Sht!O17-Bal_Sht!N17)</f>
        <v>0.0</v>
      </c>
    </row>
    <row r="21">
      <c r="B21" s="60" t="inlineStr">
        <is>
          <t>Total change in working capital</t>
        </is>
      </c>
      <c r="D21" s="127">
        <f>SUM(D14:D20)</f>
        <v>-34.00300000000002</v>
      </c>
      <c r="E21" s="127">
        <f>SUM(E14:E20)</f>
        <v>-124.51600000000008</v>
      </c>
      <c r="F21" s="127">
        <f>SUM(F14:F20)</f>
        <v>-136.16830054794508</v>
      </c>
      <c r="G21" s="127">
        <f>SUM(G14:G20)</f>
        <v>-94.59489619178083</v>
      </c>
      <c r="H21" s="127">
        <f>SUM(H14:H20)</f>
        <v>-79.2662787177535</v>
      </c>
      <c r="I21" s="127">
        <f>SUM(I14:I20)</f>
        <v>-67.42862994851237</v>
      </c>
      <c r="J21" s="127">
        <f>SUM(J14:J20)</f>
        <v>-56.18328129183175</v>
      </c>
      <c r="K21" s="127">
        <f>SUM(K14:K20)</f>
        <v>-51.759817012782435</v>
      </c>
      <c r="L21" s="127">
        <f>SUM(L14:L20)</f>
        <v>-45.240145701295376</v>
      </c>
      <c r="M21" s="127">
        <f>SUM(M14:M20)</f>
        <v>-38.09520447810314</v>
      </c>
      <c r="N21" s="127">
        <f>SUM(N14:N20)</f>
        <v>-32.754946136099875</v>
      </c>
      <c r="O21" s="127">
        <f>SUM(O14:O20)</f>
        <v>-25.060353585182042</v>
      </c>
    </row>
    <row r="23">
      <c r="B23" s="60" t="inlineStr">
        <is>
          <t>Cash from operations</t>
        </is>
      </c>
      <c r="D23" s="127">
        <f>SUM(D7:D12)+D21</f>
        <v>45.021999999999984</v>
      </c>
      <c r="E23" s="127">
        <f>SUM(E7:E12)+E21</f>
        <v>109.0809999999999</v>
      </c>
      <c r="F23" s="127">
        <f>SUM(F7:F12)+F21</f>
        <v>310.9290039770548</v>
      </c>
      <c r="G23" s="127">
        <f>SUM(G7:G12)+G21</f>
        <v>538.3673196865388</v>
      </c>
      <c r="H23" s="127">
        <f>SUM(H7:H12)+H21</f>
        <v>704.9085043320264</v>
      </c>
      <c r="I23" s="127">
        <f>SUM(I7:I12)+I21</f>
        <v>834.7154997412598</v>
      </c>
      <c r="J23" s="127">
        <f>SUM(J7:J12)+J21</f>
        <v>941.0157867758473</v>
      </c>
      <c r="K23" s="127">
        <f>SUM(K7:K12)+K21</f>
        <v>1016.9831489929529</v>
      </c>
      <c r="L23" s="127">
        <f>SUM(L7:L12)+L21</f>
        <v>1083.2874331218648</v>
      </c>
      <c r="M23" s="127">
        <f>SUM(M7:M12)+M21</f>
        <v>1139.2245007490437</v>
      </c>
      <c r="N23" s="127">
        <f>SUM(N7:N12)+N21</f>
        <v>1183.4752904413099</v>
      </c>
      <c r="O23" s="127">
        <f>SUM(O7:O12)+O21</f>
        <v>1229.2714022575342</v>
      </c>
    </row>
    <row r="24">
      <c r="B24" s="59" t="inlineStr">
        <is>
          <t>Cash flow from investing</t>
        </is>
      </c>
    </row>
    <row r="25">
      <c r="B25" s="26" t="inlineStr">
        <is>
          <t>Capital expenditures</t>
        </is>
      </c>
      <c r="D25" s="115" t="n">
        <v>-84.11499999999999</v>
      </c>
      <c r="E25" s="115" t="n">
        <v>-115.905</v>
      </c>
      <c r="F25" s="113">
        <f>Inc_Stmt!F44</f>
        <v>-87.01259999999999</v>
      </c>
      <c r="G25" s="113">
        <f>Inc_Stmt!G44</f>
        <v>-39.203502</v>
      </c>
      <c r="H25" s="113">
        <f>Inc_Stmt!H44</f>
        <v>-50.82818546</v>
      </c>
      <c r="I25" s="113">
        <f>Inc_Stmt!I44</f>
        <v>-62.274525222000015</v>
      </c>
      <c r="J25" s="113">
        <f>Inc_Stmt!J44</f>
        <v>-73.30012970490002</v>
      </c>
      <c r="K25" s="113">
        <f>Inc_Stmt!K44</f>
        <v>-81.95115602650557</v>
      </c>
      <c r="L25" s="113">
        <f>Inc_Stmt!L44</f>
        <v>-100.53567953017449</v>
      </c>
      <c r="M25" s="113">
        <f>Inc_Stmt!M44</f>
        <v>-101.82568499634782</v>
      </c>
      <c r="N25" s="113">
        <f>Inc_Stmt!N44</f>
        <v>-103.17660388238038</v>
      </c>
      <c r="O25" s="113">
        <f>Inc_Stmt!O44</f>
        <v>-103.53736942926241</v>
      </c>
    </row>
    <row r="26">
      <c r="B26" s="26" t="inlineStr">
        <is>
          <t>Acquisitions</t>
        </is>
      </c>
      <c r="D26" s="115" t="n">
        <v>0</v>
      </c>
      <c r="E26" s="115" t="n">
        <v>0</v>
      </c>
      <c r="F26" s="115" t="n">
        <v>0</v>
      </c>
      <c r="G26" s="115" t="n">
        <v>0</v>
      </c>
      <c r="H26" s="115" t="n">
        <v>0</v>
      </c>
      <c r="I26" s="115" t="n">
        <v>0</v>
      </c>
      <c r="J26" s="115" t="n">
        <v>0</v>
      </c>
      <c r="K26" s="115" t="n">
        <v>0</v>
      </c>
      <c r="L26" s="115" t="n">
        <v>0</v>
      </c>
      <c r="M26" s="115" t="n">
        <v>0</v>
      </c>
      <c r="N26" s="115" t="n">
        <v>0</v>
      </c>
      <c r="O26" s="115" t="n">
        <v>0</v>
      </c>
    </row>
    <row r="27">
      <c r="B27" s="60" t="inlineStr">
        <is>
          <t>Cash from investing</t>
        </is>
      </c>
      <c r="D27" s="127">
        <f>SUM(D25:D26)</f>
        <v>-84.115</v>
      </c>
      <c r="E27" s="127">
        <f>SUM(E25:E26)</f>
        <v>-115.905</v>
      </c>
      <c r="F27" s="127">
        <f>SUM(F25:F26)</f>
        <v>-87.01259999999999</v>
      </c>
      <c r="G27" s="127">
        <f>SUM(G25:G26)</f>
        <v>-39.203502</v>
      </c>
      <c r="H27" s="127">
        <f>SUM(H25:H26)</f>
        <v>-50.82818546</v>
      </c>
      <c r="I27" s="127">
        <f>SUM(I25:I26)</f>
        <v>-62.274525222000015</v>
      </c>
      <c r="J27" s="127">
        <f>SUM(J25:J26)</f>
        <v>-73.30012970490002</v>
      </c>
      <c r="K27" s="127">
        <f>SUM(K25:K26)</f>
        <v>-81.95115602650557</v>
      </c>
      <c r="L27" s="127">
        <f>SUM(L25:L26)</f>
        <v>-100.53567953017449</v>
      </c>
      <c r="M27" s="127">
        <f>SUM(M25:M26)</f>
        <v>-101.82568499634782</v>
      </c>
      <c r="N27" s="127">
        <f>SUM(N25:N26)</f>
        <v>-103.17660388238038</v>
      </c>
      <c r="O27" s="127">
        <f>SUM(O25:O26)</f>
        <v>-103.53736942926241</v>
      </c>
    </row>
    <row r="28">
      <c r="B28" s="59" t="inlineStr">
        <is>
          <t>Cash flow from financing</t>
        </is>
      </c>
    </row>
    <row r="29">
      <c r="B29" s="26" t="inlineStr">
        <is>
          <t>Debt issued</t>
        </is>
      </c>
      <c r="D29" s="115" t="n">
        <v>0</v>
      </c>
      <c r="E29" s="115" t="n">
        <v>594</v>
      </c>
      <c r="F29" s="115" t="n">
        <v>0</v>
      </c>
      <c r="G29" s="115" t="n">
        <v>0</v>
      </c>
      <c r="H29" s="115" t="n">
        <v>0</v>
      </c>
      <c r="I29" s="115" t="n">
        <v>0</v>
      </c>
      <c r="J29" s="115" t="n">
        <v>0</v>
      </c>
      <c r="K29" s="115" t="n">
        <v>0</v>
      </c>
      <c r="L29" s="115" t="n">
        <v>0</v>
      </c>
      <c r="M29" s="115" t="n">
        <v>0</v>
      </c>
      <c r="N29" s="115" t="n">
        <v>0</v>
      </c>
      <c r="O29" s="115" t="n">
        <v>0</v>
      </c>
    </row>
    <row r="30">
      <c r="B30" s="26" t="inlineStr">
        <is>
          <t>Debt repaid</t>
        </is>
      </c>
      <c r="D30" s="115" t="n">
        <v>-5.173</v>
      </c>
      <c r="E30" s="115" t="n">
        <v>-512.61</v>
      </c>
      <c r="F30" s="113">
        <f>-Capitalization!F17</f>
        <v>-6.0</v>
      </c>
      <c r="G30" s="113">
        <f>-Capitalization!G17</f>
        <v>-6.0</v>
      </c>
      <c r="H30" s="113">
        <f>-Capitalization!H17</f>
        <v>-6.0</v>
      </c>
      <c r="I30" s="113">
        <f>-Capitalization!I17</f>
        <v>-6.0</v>
      </c>
      <c r="J30" s="113">
        <f>-Capitalization!J17</f>
        <v>-6.0</v>
      </c>
      <c r="K30" s="113">
        <f>-Capitalization!K17</f>
        <v>-6.0</v>
      </c>
      <c r="L30" s="113">
        <f>-Capitalization!L17</f>
        <v>-6.0</v>
      </c>
      <c r="M30" s="113">
        <f>-Capitalization!M17</f>
        <v>-6.0</v>
      </c>
      <c r="N30" s="113">
        <f>-Capitalization!N17</f>
        <v>-6.0</v>
      </c>
      <c r="O30" s="113">
        <f>-Capitalization!O17</f>
        <v>-6.0</v>
      </c>
    </row>
    <row r="31">
      <c r="B31" s="26" t="inlineStr">
        <is>
          <t>IPO / follow-on proceeds, net (primary)</t>
        </is>
      </c>
      <c r="D31" s="115" t="n">
        <v>0</v>
      </c>
      <c r="E31" s="115" t="n">
        <v>1524.9</v>
      </c>
      <c r="F31" s="115" t="n">
        <v>0</v>
      </c>
      <c r="G31" s="115" t="n">
        <v>0</v>
      </c>
      <c r="H31" s="115" t="n">
        <v>0</v>
      </c>
      <c r="I31" s="115" t="n">
        <v>0</v>
      </c>
      <c r="J31" s="115" t="n">
        <v>0</v>
      </c>
      <c r="K31" s="115" t="n">
        <v>0</v>
      </c>
      <c r="L31" s="115" t="n">
        <v>0</v>
      </c>
      <c r="M31" s="115" t="n">
        <v>0</v>
      </c>
      <c r="N31" s="115" t="n">
        <v>0</v>
      </c>
      <c r="O31" s="115" t="n">
        <v>0</v>
      </c>
      <c r="Q31" s="31" t="inlineStr">
        <is>
          <t>IPO $491.8m + Mar/Jun follow-ons $1,033.1m — 100% used to buy Opco units (no cash to FPS)</t>
        </is>
      </c>
    </row>
    <row r="32">
      <c r="B32" s="26" t="inlineStr">
        <is>
          <t>Purchase of Opco units from Neos (use of proceeds)</t>
        </is>
      </c>
      <c r="D32" s="115" t="n">
        <v>0</v>
      </c>
      <c r="E32" s="115" t="n">
        <v>-1524.9</v>
      </c>
      <c r="F32" s="115" t="n">
        <v>0</v>
      </c>
      <c r="G32" s="115" t="n">
        <v>0</v>
      </c>
      <c r="H32" s="115" t="n">
        <v>0</v>
      </c>
      <c r="I32" s="115" t="n">
        <v>0</v>
      </c>
      <c r="J32" s="115" t="n">
        <v>0</v>
      </c>
      <c r="K32" s="115" t="n">
        <v>0</v>
      </c>
      <c r="L32" s="115" t="n">
        <v>0</v>
      </c>
      <c r="M32" s="115" t="n">
        <v>0</v>
      </c>
      <c r="N32" s="115" t="n">
        <v>0</v>
      </c>
      <c r="O32" s="115" t="n">
        <v>0</v>
      </c>
    </row>
    <row r="33">
      <c r="B33" s="26" t="inlineStr">
        <is>
          <t>Distributions to members / NCI</t>
        </is>
      </c>
      <c r="D33" s="115" t="n">
        <v>-13.269</v>
      </c>
      <c r="E33" s="115" t="n">
        <v>-1.44</v>
      </c>
      <c r="F33" s="115" t="n">
        <v>0</v>
      </c>
      <c r="G33" s="115" t="n">
        <v>0</v>
      </c>
      <c r="H33" s="115" t="n">
        <v>0</v>
      </c>
      <c r="I33" s="115" t="n">
        <v>0</v>
      </c>
      <c r="J33" s="115" t="n">
        <v>0</v>
      </c>
      <c r="K33" s="115" t="n">
        <v>0</v>
      </c>
      <c r="L33" s="115" t="n">
        <v>0</v>
      </c>
      <c r="M33" s="115" t="n">
        <v>0</v>
      </c>
      <c r="N33" s="115" t="n">
        <v>0</v>
      </c>
      <c r="O33" s="115" t="n">
        <v>0</v>
      </c>
    </row>
    <row r="34">
      <c r="B34" s="26" t="inlineStr">
        <is>
          <t>Other financing (debt costs, earnout, offering costs, tax distr.)</t>
        </is>
      </c>
      <c r="D34" s="115" t="n">
        <v>-17.539</v>
      </c>
      <c r="E34" s="115" t="n">
        <v>-62.735</v>
      </c>
      <c r="F34" s="115" t="n">
        <v>0</v>
      </c>
      <c r="G34" s="115" t="n">
        <v>0</v>
      </c>
      <c r="H34" s="115" t="n">
        <v>0</v>
      </c>
      <c r="I34" s="115" t="n">
        <v>0</v>
      </c>
      <c r="J34" s="115" t="n">
        <v>0</v>
      </c>
      <c r="K34" s="115" t="n">
        <v>0</v>
      </c>
      <c r="L34" s="115" t="n">
        <v>0</v>
      </c>
      <c r="M34" s="115" t="n">
        <v>0</v>
      </c>
      <c r="N34" s="115" t="n">
        <v>0</v>
      </c>
      <c r="O34" s="115" t="n">
        <v>0</v>
      </c>
      <c r="Q34" s="31" t="inlineStr">
        <is>
          <t>FY26: financing costs 13.5, earnout 17.2, offering costs 23.5, tax distributions ~8.6</t>
        </is>
      </c>
    </row>
    <row r="35">
      <c r="B35" s="60" t="inlineStr">
        <is>
          <t>Cash from financing</t>
        </is>
      </c>
      <c r="D35" s="127">
        <f>SUM(D29:D34)</f>
        <v>-35.981</v>
      </c>
      <c r="E35" s="127">
        <f>SUM(E29:E34)</f>
        <v>17.214999999999876</v>
      </c>
      <c r="F35" s="127">
        <f>SUM(F29:F34)</f>
        <v>-6.0</v>
      </c>
      <c r="G35" s="127">
        <f>SUM(G29:G34)</f>
        <v>-6.0</v>
      </c>
      <c r="H35" s="127">
        <f>SUM(H29:H34)</f>
        <v>-6.0</v>
      </c>
      <c r="I35" s="127">
        <f>SUM(I29:I34)</f>
        <v>-6.0</v>
      </c>
      <c r="J35" s="127">
        <f>SUM(J29:J34)</f>
        <v>-6.0</v>
      </c>
      <c r="K35" s="127">
        <f>SUM(K29:K34)</f>
        <v>-6.0</v>
      </c>
      <c r="L35" s="127">
        <f>SUM(L29:L34)</f>
        <v>-6.0</v>
      </c>
      <c r="M35" s="127">
        <f>SUM(M29:M34)</f>
        <v>-6.0</v>
      </c>
      <c r="N35" s="127">
        <f>SUM(N29:N34)</f>
        <v>-6.0</v>
      </c>
      <c r="O35" s="127">
        <f>SUM(O29:O34)</f>
        <v>-6.0</v>
      </c>
    </row>
    <row r="37">
      <c r="B37" s="60" t="inlineStr">
        <is>
          <t>Net change in cash &amp; restricted cash</t>
        </is>
      </c>
      <c r="D37" s="127">
        <f>D23+D27+D35</f>
        <v>-75.07400000000001</v>
      </c>
      <c r="E37" s="127">
        <f>E23+E27+E35</f>
        <v>10.390999999999778</v>
      </c>
      <c r="F37" s="127">
        <f>F23+F27+F35</f>
        <v>217.91640397705478</v>
      </c>
      <c r="G37" s="127">
        <f>G23+G27+G35</f>
        <v>493.16381768653883</v>
      </c>
      <c r="H37" s="127">
        <f>H23+H27+H35</f>
        <v>648.0803188720264</v>
      </c>
      <c r="I37" s="127">
        <f>I23+I27+I35</f>
        <v>766.4409745192598</v>
      </c>
      <c r="J37" s="127">
        <f>J23+J27+J35</f>
        <v>861.7156570709474</v>
      </c>
      <c r="K37" s="127">
        <f>K23+K27+K35</f>
        <v>929.0319929664473</v>
      </c>
      <c r="L37" s="127">
        <f>L23+L27+L35</f>
        <v>976.7517535916902</v>
      </c>
      <c r="M37" s="127">
        <f>M23+M27+M35</f>
        <v>1031.398815752696</v>
      </c>
      <c r="N37" s="127">
        <f>N23+N27+N35</f>
        <v>1074.2986865589296</v>
      </c>
      <c r="O37" s="127">
        <f>O23+O27+O35</f>
        <v>1119.7340328282717</v>
      </c>
    </row>
    <row r="38">
      <c r="B38" s="26" t="inlineStr">
        <is>
          <t>Beginning cash &amp; restricted cash</t>
        </is>
      </c>
      <c r="D38" s="115" t="n">
        <v>186.396</v>
      </c>
      <c r="E38" s="113">
        <f>D39</f>
        <v>111.32199999999997</v>
      </c>
      <c r="F38" s="113">
        <f>E39</f>
        <v>121.71299999999975</v>
      </c>
      <c r="G38" s="113">
        <f>F39</f>
        <v>339.62940397705455</v>
      </c>
      <c r="H38" s="113">
        <f>G39</f>
        <v>832.7932216635934</v>
      </c>
      <c r="I38" s="113">
        <f>H39</f>
        <v>1480.8735405356197</v>
      </c>
      <c r="J38" s="113">
        <f>I39</f>
        <v>2247.3145150548794</v>
      </c>
      <c r="K38" s="113">
        <f>J39</f>
        <v>3109.0301721258265</v>
      </c>
      <c r="L38" s="113">
        <f>K39</f>
        <v>4038.062165092274</v>
      </c>
      <c r="M38" s="113">
        <f>L39</f>
        <v>5014.813918683964</v>
      </c>
      <c r="N38" s="113">
        <f>M39</f>
        <v>6046.21273443666</v>
      </c>
      <c r="O38" s="113">
        <f>N39</f>
        <v>7120.51142099559</v>
      </c>
      <c r="Q38" s="31" t="inlineStr">
        <is>
          <t>FY25 beginning = FY25 ending $111.3m + $75.1m decrease</t>
        </is>
      </c>
    </row>
    <row r="39">
      <c r="B39" s="26" t="inlineStr">
        <is>
          <t>Ending cash &amp; restricted cash</t>
        </is>
      </c>
      <c r="D39" s="113">
        <f>D38+D37</f>
        <v>111.32199999999997</v>
      </c>
      <c r="E39" s="113">
        <f>E38+E37</f>
        <v>121.71299999999975</v>
      </c>
      <c r="F39" s="113">
        <f>F38+F37</f>
        <v>339.62940397705455</v>
      </c>
      <c r="G39" s="113">
        <f>G38+G37</f>
        <v>832.7932216635934</v>
      </c>
      <c r="H39" s="113">
        <f>H38+H37</f>
        <v>1480.8735405356197</v>
      </c>
      <c r="I39" s="113">
        <f>I38+I37</f>
        <v>2247.3145150548794</v>
      </c>
      <c r="J39" s="113">
        <f>J38+J37</f>
        <v>3109.0301721258265</v>
      </c>
      <c r="K39" s="113">
        <f>K38+K37</f>
        <v>4038.062165092274</v>
      </c>
      <c r="L39" s="113">
        <f>L38+L37</f>
        <v>5014.813918683964</v>
      </c>
      <c r="M39" s="113">
        <f>M38+M37</f>
        <v>6046.21273443666</v>
      </c>
      <c r="N39" s="113">
        <f>N38+N37</f>
        <v>7120.51142099559</v>
      </c>
      <c r="O39" s="113">
        <f>O38+O37</f>
        <v>8240.245453823862</v>
      </c>
    </row>
    <row r="40">
      <c r="B40" s="26" t="inlineStr">
        <is>
          <t>Less: restricted cash (TRA)</t>
        </is>
      </c>
      <c r="D40" s="113">
        <f>-Bal_Sht!D11</f>
        <v>-0.0</v>
      </c>
      <c r="E40" s="113">
        <f>-Bal_Sht!E11</f>
        <v>-24.236</v>
      </c>
      <c r="F40" s="113">
        <f>-Bal_Sht!F11</f>
        <v>-24.236</v>
      </c>
      <c r="G40" s="113">
        <f>-Bal_Sht!G11</f>
        <v>-24.236</v>
      </c>
      <c r="H40" s="113">
        <f>-Bal_Sht!H11</f>
        <v>-24.236</v>
      </c>
      <c r="I40" s="113">
        <f>-Bal_Sht!I11</f>
        <v>-24.236</v>
      </c>
      <c r="J40" s="113">
        <f>-Bal_Sht!J11</f>
        <v>-24.236</v>
      </c>
      <c r="K40" s="113">
        <f>-Bal_Sht!K11</f>
        <v>-24.236</v>
      </c>
      <c r="L40" s="113">
        <f>-Bal_Sht!L11</f>
        <v>-24.236</v>
      </c>
      <c r="M40" s="113">
        <f>-Bal_Sht!M11</f>
        <v>-24.236</v>
      </c>
      <c r="N40" s="113">
        <f>-Bal_Sht!N11</f>
        <v>-24.236</v>
      </c>
      <c r="O40" s="113">
        <f>-Bal_Sht!O11</f>
        <v>-24.236</v>
      </c>
    </row>
    <row r="41">
      <c r="B41" s="60" t="inlineStr">
        <is>
          <t>Ending cash &amp; equivalents (to balance sheet)</t>
        </is>
      </c>
      <c r="D41" s="127">
        <f>D39+D40</f>
        <v>111.32199999999997</v>
      </c>
      <c r="E41" s="127">
        <f>E39+E40</f>
        <v>97.47699999999975</v>
      </c>
      <c r="F41" s="127">
        <f>F39+F40</f>
        <v>315.39340397705456</v>
      </c>
      <c r="G41" s="127">
        <f>G39+G40</f>
        <v>808.5572216635934</v>
      </c>
      <c r="H41" s="127">
        <f>H39+H40</f>
        <v>1456.6375405356196</v>
      </c>
      <c r="I41" s="127">
        <f>I39+I40</f>
        <v>2223.0785150548795</v>
      </c>
      <c r="J41" s="127">
        <f>J39+J40</f>
        <v>3084.7941721258267</v>
      </c>
      <c r="K41" s="127">
        <f>K39+K40</f>
        <v>4013.826165092274</v>
      </c>
      <c r="L41" s="127">
        <f>L39+L40</f>
        <v>4990.5779186839645</v>
      </c>
      <c r="M41" s="127">
        <f>M39+M40</f>
        <v>6021.97673443666</v>
      </c>
      <c r="N41" s="127">
        <f>N39+N40</f>
        <v>7096.27542099559</v>
      </c>
      <c r="O41" s="127">
        <f>O39+O40</f>
        <v>8216.00945382386</v>
      </c>
    </row>
    <row r="43">
      <c r="B43" s="59" t="inlineStr">
        <is>
          <t>Supplemental</t>
        </is>
      </c>
    </row>
    <row r="44">
      <c r="B44" s="26" t="inlineStr">
        <is>
          <t>Cash interest paid</t>
        </is>
      </c>
      <c r="D44" s="115" t="n">
        <v>54.605</v>
      </c>
      <c r="E44" s="115" t="n">
        <v>48.163</v>
      </c>
      <c r="F44" s="113">
        <f>-Inc_Stmt!F22</f>
        <v>38.24415</v>
      </c>
      <c r="G44" s="113">
        <f>-Inc_Stmt!G22</f>
        <v>37.860749999999996</v>
      </c>
      <c r="H44" s="113">
        <f>-Inc_Stmt!H22</f>
        <v>37.47735</v>
      </c>
      <c r="I44" s="113">
        <f>-Inc_Stmt!I22</f>
        <v>37.09395</v>
      </c>
      <c r="J44" s="113">
        <f>-Inc_Stmt!J22</f>
        <v>36.71055</v>
      </c>
      <c r="K44" s="113">
        <f>-Inc_Stmt!K22</f>
        <v>36.327149999999996</v>
      </c>
      <c r="L44" s="113">
        <f>-Inc_Stmt!L22</f>
        <v>35.94375</v>
      </c>
      <c r="M44" s="113">
        <f>-Inc_Stmt!M22</f>
        <v>35.56035</v>
      </c>
      <c r="N44" s="113">
        <f>-Inc_Stmt!N22</f>
        <v>35.17695</v>
      </c>
      <c r="O44" s="113">
        <f>-Inc_Stmt!O22</f>
        <v>34.793549999999996</v>
      </c>
    </row>
    <row r="45">
      <c r="B45" s="26" t="inlineStr">
        <is>
          <t>Cash taxes paid</t>
        </is>
      </c>
      <c r="D45" s="115" t="n">
        <v>7.392</v>
      </c>
      <c r="E45" s="115" t="n">
        <v>13.687</v>
      </c>
      <c r="F45" s="113">
        <f>-Inc_Stmt!F28</f>
        <v>123.68455817499995</v>
      </c>
      <c r="G45" s="113">
        <f>-Inc_Stmt!G28</f>
        <v>180.86288012610655</v>
      </c>
      <c r="H45" s="113">
        <f>-Inc_Stmt!H28</f>
        <v>229.81668433825996</v>
      </c>
      <c r="I45" s="113">
        <f>-Inc_Stmt!I28</f>
        <v>267.5942130710074</v>
      </c>
      <c r="J45" s="113">
        <f>-Inc_Stmt!J28</f>
        <v>297.0427988020872</v>
      </c>
      <c r="K45" s="113">
        <f>-Inc_Stmt!K28</f>
        <v>318.390544360878</v>
      </c>
      <c r="L45" s="113">
        <f>-Inc_Stmt!L28</f>
        <v>335.7505906057681</v>
      </c>
      <c r="M45" s="113">
        <f>-Inc_Stmt!M28</f>
        <v>348.9252821986193</v>
      </c>
      <c r="N45" s="113">
        <f>-Inc_Stmt!N28</f>
        <v>359.2117768707897</v>
      </c>
      <c r="O45" s="113">
        <f>-Inc_Stmt!O28</f>
        <v>369.60179138381545</v>
      </c>
    </row>
    <row r="46">
      <c r="B46" s="26" t="inlineStr">
        <is>
          <t>Levered free cash flow (CFO + capex)</t>
        </is>
      </c>
      <c r="D46" s="113">
        <f>D23+D25</f>
        <v>-39.09300000000001</v>
      </c>
      <c r="E46" s="113">
        <f>E23+E25</f>
        <v>-6.8240000000000975</v>
      </c>
      <c r="F46" s="113">
        <f>F23+F25</f>
        <v>223.91640397705478</v>
      </c>
      <c r="G46" s="113">
        <f>G23+G25</f>
        <v>499.16381768653883</v>
      </c>
      <c r="H46" s="113">
        <f>H23+H25</f>
        <v>654.0803188720264</v>
      </c>
      <c r="I46" s="113">
        <f>I23+I25</f>
        <v>772.4409745192598</v>
      </c>
      <c r="J46" s="113">
        <f>J23+J25</f>
        <v>867.7156570709474</v>
      </c>
      <c r="K46" s="113">
        <f>K23+K25</f>
        <v>935.0319929664473</v>
      </c>
      <c r="L46" s="113">
        <f>L23+L25</f>
        <v>982.7517535916902</v>
      </c>
      <c r="M46" s="113">
        <f>M23+M25</f>
        <v>1037.398815752696</v>
      </c>
      <c r="N46" s="113">
        <f>N23+N25</f>
        <v>1080.2986865589296</v>
      </c>
      <c r="O46" s="113">
        <f>O23+O25</f>
        <v>1125.7340328282717</v>
      </c>
    </row>
    <row r="47">
      <c r="B47" s="26" t="inlineStr">
        <is>
          <t>Unlevered free cash flow (DCF)</t>
        </is>
      </c>
      <c r="E47" s="113">
        <f>Inc_Stmt!E82</f>
        <v>-10.40224999999991</v>
      </c>
      <c r="F47" s="113">
        <f>DCF!F17</f>
        <v>230.76174272705475</v>
      </c>
      <c r="G47" s="113">
        <f>DCF!G17</f>
        <v>495.5100858619688</v>
      </c>
      <c r="H47" s="113">
        <f>DCF!H17</f>
        <v>635.7490001058342</v>
      </c>
      <c r="I47" s="113">
        <f>DCF!I17</f>
        <v>737.3640401502166</v>
      </c>
      <c r="J47" s="113">
        <f>DCF!J17</f>
        <v>814.472444904389</v>
      </c>
      <c r="K47" s="113">
        <f>DCF!K17</f>
        <v>862.218280051038</v>
      </c>
      <c r="L47" s="113">
        <f>DCF!L17</f>
        <v>889.5429678941239</v>
      </c>
      <c r="M47" s="113">
        <f>DCF!M17</f>
        <v>923.3718675688134</v>
      </c>
      <c r="N47" s="113">
        <f>DCF!N17</f>
        <v>944.7817184069755</v>
      </c>
      <c r="O47" s="113">
        <f>DCF!O17</f>
        <v>968.3167857968978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ColWidth="8.875" defaultRowHeight="15"/>
  <cols>
    <col width="2.95703125" customWidth="1" style="94" min="1" max="1"/>
    <col width="34.03125" customWidth="1" style="94" min="2" max="2"/>
    <col width="11.02734375" customWidth="1" style="94" min="3" max="3"/>
    <col width="13.046875" customWidth="1" style="94" min="4" max="6"/>
    <col width="11.02734375" customWidth="1" style="94" min="7" max="7"/>
    <col width="13.046875" customWidth="1" style="94" min="8" max="8"/>
    <col width="59.99609375" customWidth="1" style="94" min="9" max="9"/>
    <col width="12.5078125" customWidth="1" style="94" min="10" max="15"/>
  </cols>
  <sheetData>
    <row r="1" ht="18.75" customHeight="1" s="94">
      <c r="A1" s="24" t="str">
        <f>"WACC Calculation for "&amp;Name</f>
        <v>WACC Calculation for Forgent Power Solutions, Inc.</v>
      </c>
    </row>
    <row r="2">
      <c r="A2" s="25" t="inlineStr">
        <is>
          <t>(Dollars in Millions unless stated)</t>
        </is>
      </c>
    </row>
    <row r="3">
      <c r="B3" s="29" t="inlineStr">
        <is>
          <t>WACC Calculation</t>
        </is>
      </c>
      <c r="C3" s="4" t="n"/>
      <c r="D3" s="4" t="n"/>
    </row>
    <row r="4">
      <c r="B4" s="59" t="inlineStr">
        <is>
          <t>Cost of equity</t>
        </is>
      </c>
    </row>
    <row r="5">
      <c r="B5" s="26" t="inlineStr">
        <is>
          <t>Risk-free rate (10Y UST)</t>
        </is>
      </c>
      <c r="D5" s="68" t="n">
        <v>0.0517</v>
      </c>
      <c r="F5" s="31" t="inlineStr">
        <is>
          <t>US Treasury daily par yield, 9/25/2026 (FRED DGS10 5.18% on 9/24)</t>
        </is>
      </c>
    </row>
    <row r="6">
      <c r="B6" s="26" t="inlineStr">
        <is>
          <t>Equity risk premium</t>
        </is>
      </c>
      <c r="D6" s="68" t="n">
        <v>0.0414</v>
      </c>
      <c r="F6" s="31" t="inlineStr">
        <is>
          <t>Damodaran implied ERP, 9/1/2026 update (computed vs 4.75% Rf — rates rose since; see note)</t>
        </is>
      </c>
    </row>
    <row r="7">
      <c r="B7" s="26" t="str">
        <f>Ticker&amp;" beta (relevered peer median)"</f>
        <v>FPS beta (relevered peer median)</v>
      </c>
      <c r="D7" s="43">
        <f>beta</f>
        <v>1.167328091292105</v>
      </c>
    </row>
    <row r="8">
      <c r="B8" s="26" t="inlineStr">
        <is>
          <t>Size / company-specific premium</t>
        </is>
      </c>
      <c r="D8" s="68" t="n">
        <v>0</v>
      </c>
    </row>
    <row r="9">
      <c r="B9" s="32" t="inlineStr">
        <is>
          <t>Cost of equity</t>
        </is>
      </c>
      <c r="D9" s="69">
        <f>D5+D6*D7+D8</f>
        <v>0.10002738297949315</v>
      </c>
    </row>
    <row r="11">
      <c r="B11" s="59" t="inlineStr">
        <is>
          <t>Cost of debt</t>
        </is>
      </c>
    </row>
    <row r="12">
      <c r="B12" s="26" t="inlineStr">
        <is>
          <t>Pre-tax cost of debt (WACD)</t>
        </is>
      </c>
      <c r="D12" s="70">
        <f>Kd</f>
        <v>0.0639</v>
      </c>
    </row>
    <row r="13">
      <c r="B13" s="26" t="inlineStr">
        <is>
          <t>Tax rate</t>
        </is>
      </c>
      <c r="D13" s="70">
        <f>TaxRate</f>
        <v>0.25</v>
      </c>
    </row>
    <row r="14">
      <c r="B14" s="26" t="inlineStr">
        <is>
          <t>After-tax cost of debt</t>
        </is>
      </c>
      <c r="D14" s="70">
        <f>D12*(1-D13)</f>
        <v>0.047924999999999995</v>
      </c>
    </row>
    <row r="16">
      <c r="B16" s="59" t="inlineStr">
        <is>
          <t>Capital structure (market value)</t>
        </is>
      </c>
    </row>
    <row r="17">
      <c r="B17" s="26" t="inlineStr">
        <is>
          <t>Equity value</t>
        </is>
      </c>
      <c r="D17" s="113">
        <f>marketcap</f>
        <v>11863.59380433</v>
      </c>
    </row>
    <row r="18">
      <c r="B18" s="26" t="inlineStr">
        <is>
          <t>Debt</t>
        </is>
      </c>
      <c r="D18" s="113">
        <f>totaldebt</f>
        <v>598.5</v>
      </c>
    </row>
    <row r="19">
      <c r="B19" s="26" t="inlineStr">
        <is>
          <t>E / V</t>
        </is>
      </c>
      <c r="D19" s="116">
        <f>D17/SUM(D17:D18)</f>
        <v>0.9519743624629073</v>
      </c>
    </row>
    <row r="20">
      <c r="B20" s="26" t="inlineStr">
        <is>
          <t>D / V</t>
        </is>
      </c>
      <c r="D20" s="116">
        <f>D18/SUM(D17:D18)</f>
        <v>0.0480256375370926</v>
      </c>
    </row>
    <row r="21">
      <c r="B21" s="26" t="inlineStr">
        <is>
          <t>D / E</t>
        </is>
      </c>
      <c r="D21" s="116">
        <f>D18/D17</f>
        <v>0.05044845683957573</v>
      </c>
    </row>
    <row r="23" ht="15.75" customHeight="1" s="94">
      <c r="B23" s="51" t="inlineStr">
        <is>
          <t>WACC</t>
        </is>
      </c>
      <c r="D23" s="71">
        <f>D9*D19+D14*D20</f>
        <v>0.09752513281970122</v>
      </c>
    </row>
    <row r="26">
      <c r="B26" s="59" t="inlineStr">
        <is>
          <t>Peer beta relevering</t>
        </is>
      </c>
    </row>
    <row r="27">
      <c r="B27" s="72" t="inlineStr">
        <is>
          <t>Company</t>
        </is>
      </c>
      <c r="C27" s="53" t="inlineStr">
        <is>
          <t>Levered β</t>
        </is>
      </c>
      <c r="D27" s="53" t="inlineStr">
        <is>
          <t>Market cap</t>
        </is>
      </c>
      <c r="E27" s="53" t="inlineStr">
        <is>
          <t>Total debt</t>
        </is>
      </c>
      <c r="F27" s="53" t="inlineStr">
        <is>
          <t>D / E</t>
        </is>
      </c>
      <c r="G27" s="53" t="inlineStr">
        <is>
          <t>Tax</t>
        </is>
      </c>
      <c r="H27" s="53" t="inlineStr">
        <is>
          <t>Unlevered β</t>
        </is>
      </c>
    </row>
    <row r="28">
      <c r="B28" s="26" t="inlineStr">
        <is>
          <t>Eaton (ETN)</t>
        </is>
      </c>
      <c r="C28" s="73" t="n">
        <v>1.17</v>
      </c>
      <c r="D28" s="113">
        <f>'Financial Data'!F8</f>
        <v>170888.232</v>
      </c>
      <c r="E28" s="113">
        <f>'Financial Data'!G8</f>
        <v>21326.0</v>
      </c>
      <c r="F28" s="116">
        <f>E28/D28</f>
        <v>0.12479501806771576</v>
      </c>
      <c r="G28" s="116">
        <f>TaxRate</f>
        <v>0.25</v>
      </c>
      <c r="H28" s="43">
        <f>C28/(1+(1-G28)*F28)</f>
        <v>1.0698646648637393</v>
      </c>
      <c r="I28" s="31" t="inlineStr">
        <is>
          <t>Levered β: StockAnalysis 'Beta (5Y)' vs S&amp;P 500, as of 9/25/2026 (Finviz within ±0.05)</t>
        </is>
      </c>
    </row>
    <row r="29">
      <c r="B29" s="26" t="inlineStr">
        <is>
          <t>Vertiv (VRT)</t>
        </is>
      </c>
      <c r="C29" s="73" t="n">
        <v>2.07</v>
      </c>
      <c r="D29" s="113">
        <f>'Financial Data'!F9</f>
        <v>97510.2672</v>
      </c>
      <c r="E29" s="113">
        <f>'Financial Data'!G9</f>
        <v>3338.0</v>
      </c>
      <c r="F29" s="116">
        <f>E29/D29</f>
        <v>0.03423229261748962</v>
      </c>
      <c r="G29" s="116">
        <f>TaxRate</f>
        <v>0.25</v>
      </c>
      <c r="H29" s="43">
        <f>C29/(1+(1-G29)*F29)</f>
        <v>2.0181846835182506</v>
      </c>
    </row>
    <row r="30">
      <c r="B30" s="26" t="inlineStr">
        <is>
          <t>Hubbell (HUBB)</t>
        </is>
      </c>
      <c r="C30" s="73" t="n">
        <v>0.89</v>
      </c>
      <c r="D30" s="113">
        <f>'Financial Data'!F10</f>
        <v>24651.5346</v>
      </c>
      <c r="E30" s="113">
        <f>'Financial Data'!G10</f>
        <v>5557.0</v>
      </c>
      <c r="F30" s="116">
        <f>E30/D30</f>
        <v>0.22542207169528505</v>
      </c>
      <c r="G30" s="116">
        <f>TaxRate</f>
        <v>0.25</v>
      </c>
      <c r="H30" s="43">
        <f>C30/(1+(1-G30)*F30)</f>
        <v>0.761291131911026</v>
      </c>
    </row>
    <row r="31">
      <c r="B31" s="26" t="inlineStr">
        <is>
          <t>nVent (NVT)</t>
        </is>
      </c>
      <c r="C31" s="73" t="n">
        <v>1.35</v>
      </c>
      <c r="D31" s="113">
        <f>'Financial Data'!F11</f>
        <v>26611.4026</v>
      </c>
      <c r="E31" s="113">
        <f>'Financial Data'!G11</f>
        <v>1633.0</v>
      </c>
      <c r="F31" s="116">
        <f>E31/D31</f>
        <v>0.06136467230028679</v>
      </c>
      <c r="G31" s="116">
        <f>TaxRate</f>
        <v>0.25</v>
      </c>
      <c r="H31" s="43">
        <f>C31/(1+(1-G31)*F31)</f>
        <v>1.2906019745702932</v>
      </c>
    </row>
    <row r="32">
      <c r="B32" s="26" t="inlineStr">
        <is>
          <t>GE Vernova (GEV)</t>
        </is>
      </c>
      <c r="C32" s="73" t="n">
        <v>0.97</v>
      </c>
      <c r="D32" s="113">
        <f>'Financial Data'!F12</f>
        <v>255045.5979</v>
      </c>
      <c r="E32" s="113">
        <f>'Financial Data'!G12</f>
        <v>3720.0</v>
      </c>
      <c r="F32" s="116">
        <f>E32/D32</f>
        <v>0.014585627160906979</v>
      </c>
      <c r="G32" s="116">
        <f>TaxRate</f>
        <v>0.25</v>
      </c>
      <c r="H32" s="43">
        <f>C32/(1+(1-G32)*F32)</f>
        <v>0.959503776739744</v>
      </c>
      <c r="I32" s="31" t="inlineStr">
        <is>
          <t>GEV: ~2.5 yrs of trading history</t>
        </is>
      </c>
    </row>
    <row r="33">
      <c r="B33" s="26" t="inlineStr">
        <is>
          <t>Powell Industries (POWL)</t>
        </is>
      </c>
      <c r="C33" s="73" t="n">
        <v>1.18</v>
      </c>
      <c r="D33" s="113">
        <f>'Financial Data'!F13</f>
        <v>6904.5779</v>
      </c>
      <c r="E33" s="113">
        <f>'Financial Data'!G13</f>
        <v>2.52</v>
      </c>
      <c r="F33" s="116">
        <f>E33/D33</f>
        <v>0.00036497524345405674</v>
      </c>
      <c r="G33" s="116">
        <f>TaxRate</f>
        <v>0.25</v>
      </c>
      <c r="H33" s="43">
        <f>C33/(1+(1-G33)*F33)</f>
        <v>1.1796770853014462</v>
      </c>
    </row>
    <row r="34">
      <c r="B34" s="26" t="inlineStr">
        <is>
          <t>Median unlevered beta</t>
        </is>
      </c>
      <c r="H34" s="43">
        <f>MEDIAN(H28:H33)</f>
        <v>1.1247708750825929</v>
      </c>
    </row>
    <row r="35">
      <c r="B35" s="26" t="str">
        <f>Ticker&amp;" target D / E"</f>
        <v>FPS target D / E</v>
      </c>
      <c r="H35" s="116">
        <f>D21</f>
        <v>0.05044845683957573</v>
      </c>
    </row>
    <row r="36">
      <c r="B36" s="32" t="inlineStr">
        <is>
          <t>Relevered beta</t>
        </is>
      </c>
      <c r="D36" s="74">
        <f>H34*(1+(1-TaxRate)*H35)</f>
        <v>1.167328091292105</v>
      </c>
    </row>
    <row r="38">
      <c r="B38" s="30" t="inlineStr">
        <is>
          <t>Note: Damodaran's 4.14% implied ERP was computed against a 4.75% Rf; the 10Y has since risen to 5.17%. Pairing them mixes dates — flex D6 (e.g., 4.5%) to test.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selection activeCell="A1" sqref="A1"/>
    </sheetView>
  </sheetViews>
  <sheetFormatPr baseColWidth="8" defaultColWidth="8.875" defaultRowHeight="15"/>
  <cols>
    <col width="2.95703125" customWidth="1" style="94" min="1" max="1"/>
    <col width="39.953125" customWidth="1" style="94" min="2" max="2"/>
    <col width="12.5078125" customWidth="1" style="94" min="3" max="15"/>
    <col width="55.01953125" customWidth="1" style="94" min="17" max="17"/>
  </cols>
  <sheetData>
    <row r="1" ht="18.75" customHeight="1" s="94">
      <c r="A1" s="24" t="str">
        <f>"Debt Capitalization for "&amp;Name</f>
        <v>Debt Capitalization for Forgent Power Solutions, Inc.</v>
      </c>
    </row>
    <row r="2">
      <c r="A2" s="25" t="inlineStr">
        <is>
          <t>(Dollars in Millions unless stated)</t>
        </is>
      </c>
    </row>
    <row r="4">
      <c r="B4" s="72" t="inlineStr">
        <is>
          <t>Debt instrument</t>
        </is>
      </c>
      <c r="D4" s="72" t="inlineStr">
        <is>
          <t>Amount</t>
        </is>
      </c>
      <c r="F4" s="72" t="inlineStr">
        <is>
          <t>Maturity</t>
        </is>
      </c>
      <c r="H4" s="72" t="inlineStr">
        <is>
          <t>Rate</t>
        </is>
      </c>
      <c r="I4" s="72" t="inlineStr">
        <is>
          <t>Wtd. rate</t>
        </is>
      </c>
    </row>
    <row r="5">
      <c r="B5" s="26" t="inlineStr">
        <is>
          <t>Term Loan B (Term SOFR + 2.25%)</t>
        </is>
      </c>
      <c r="D5" s="115" t="n">
        <v>598.5</v>
      </c>
      <c r="F5" s="109" t="n">
        <v>48567</v>
      </c>
      <c r="H5" s="68" t="n">
        <v>0.0639</v>
      </c>
      <c r="I5" s="70">
        <f>IF(CapDebt=0,0,D5/CapDebt*H5)</f>
        <v>0.0639</v>
      </c>
      <c r="K5" s="31" t="inlineStr">
        <is>
          <t>10-K Note 10: $598.5m principal, matures 12/19/2032, effective rate 6.39% at 6/30/26 (repriced 6/23/26)</t>
        </is>
      </c>
    </row>
    <row r="6">
      <c r="B6" s="26" t="inlineStr">
        <is>
          <t>Revolver ($250m commitment, undrawn)</t>
        </is>
      </c>
      <c r="D6" s="115" t="n">
        <v>0</v>
      </c>
      <c r="F6" s="109" t="n">
        <v>47836</v>
      </c>
      <c r="H6" s="68" t="n">
        <v>0.0639</v>
      </c>
      <c r="I6" s="70">
        <f>IF(CapDebt=0,0,D6/CapDebt*H6)</f>
        <v>0.0</v>
      </c>
      <c r="K6" s="31" t="inlineStr">
        <is>
          <t>10-K Note 10: $246.4m available at 6/30/26 (LCs outstanding)</t>
        </is>
      </c>
    </row>
    <row r="8">
      <c r="B8" s="60" t="inlineStr">
        <is>
          <t>Total debt</t>
        </is>
      </c>
      <c r="D8" s="127">
        <f>SUM(D5:D6)</f>
        <v>598.5</v>
      </c>
      <c r="F8" s="32" t="inlineStr">
        <is>
          <t>WACD</t>
        </is>
      </c>
      <c r="H8" s="69">
        <f>SUM(I5:I6)</f>
        <v>0.0639</v>
      </c>
    </row>
    <row r="10">
      <c r="B10" s="75" t="inlineStr">
        <is>
          <t>Memo — excluded from debt</t>
        </is>
      </c>
    </row>
    <row r="11">
      <c r="B11" s="26" t="inlineStr">
        <is>
          <t>Operating lease liabilities</t>
        </is>
      </c>
      <c r="D11" s="115" t="n">
        <v>121.596</v>
      </c>
      <c r="K11" s="31" t="inlineStr">
        <is>
          <t>US GAAP operating lease cost sits inside EBITDA/EBIT, so leases are NOT treated as debt (avoids double count)</t>
        </is>
      </c>
    </row>
    <row r="12">
      <c r="B12" s="26" t="inlineStr">
        <is>
          <t>TRA liability (in bridge, net of DTA &amp; restricted cash)</t>
        </is>
      </c>
      <c r="D12" s="113">
        <f>TRA</f>
        <v>338.925</v>
      </c>
    </row>
    <row r="13">
      <c r="B13" s="26" t="inlineStr">
        <is>
          <t>Mandatory amortization ($MM / yr)</t>
        </is>
      </c>
      <c r="D13" s="115" t="n">
        <v>6</v>
      </c>
      <c r="K13" s="31" t="inlineStr">
        <is>
          <t>1% of original $600m per year (10-K maturities table: $6.0m FY27–FY31)</t>
        </is>
      </c>
    </row>
    <row r="15">
      <c r="B15" s="32" t="inlineStr">
        <is>
          <t>Debt &amp; Interest Schedule</t>
        </is>
      </c>
      <c r="F15" s="53" t="inlineStr">
        <is>
          <t>FY27E</t>
        </is>
      </c>
      <c r="G15" s="53" t="inlineStr">
        <is>
          <t>FY28E</t>
        </is>
      </c>
      <c r="H15" s="53" t="inlineStr">
        <is>
          <t>FY29E</t>
        </is>
      </c>
      <c r="I15" s="53" t="inlineStr">
        <is>
          <t>FY30E</t>
        </is>
      </c>
      <c r="J15" s="53" t="inlineStr">
        <is>
          <t>FY31E</t>
        </is>
      </c>
      <c r="K15" s="53" t="inlineStr">
        <is>
          <t>FY32E</t>
        </is>
      </c>
      <c r="L15" s="53" t="inlineStr">
        <is>
          <t>FY33E</t>
        </is>
      </c>
      <c r="M15" s="53" t="inlineStr">
        <is>
          <t>FY34E</t>
        </is>
      </c>
      <c r="N15" s="53" t="inlineStr">
        <is>
          <t>FY35E</t>
        </is>
      </c>
      <c r="O15" s="53" t="inlineStr">
        <is>
          <t>FY36E</t>
        </is>
      </c>
    </row>
    <row r="16">
      <c r="B16" s="26" t="inlineStr">
        <is>
          <t>Term loan — beginning balance</t>
        </is>
      </c>
      <c r="F16" s="113">
        <f>$D$5</f>
        <v>598.5</v>
      </c>
      <c r="G16" s="113">
        <f>F18</f>
        <v>592.5</v>
      </c>
      <c r="H16" s="113">
        <f>G18</f>
        <v>586.5</v>
      </c>
      <c r="I16" s="113">
        <f>H18</f>
        <v>580.5</v>
      </c>
      <c r="J16" s="113">
        <f>I18</f>
        <v>574.5</v>
      </c>
      <c r="K16" s="113">
        <f>J18</f>
        <v>568.5</v>
      </c>
      <c r="L16" s="113">
        <f>K18</f>
        <v>562.5</v>
      </c>
      <c r="M16" s="113">
        <f>L18</f>
        <v>556.5</v>
      </c>
      <c r="N16" s="113">
        <f>M18</f>
        <v>550.5</v>
      </c>
      <c r="O16" s="113">
        <f>N18</f>
        <v>544.5</v>
      </c>
    </row>
    <row r="17">
      <c r="B17" s="26" t="inlineStr">
        <is>
          <t>Mandatory repayment</t>
        </is>
      </c>
      <c r="F17" s="113">
        <f>MIN(TLAmort,F16)</f>
        <v>6.0</v>
      </c>
      <c r="G17" s="113">
        <f>MIN(TLAmort,G16)</f>
        <v>6.0</v>
      </c>
      <c r="H17" s="113">
        <f>MIN(TLAmort,H16)</f>
        <v>6.0</v>
      </c>
      <c r="I17" s="113">
        <f>MIN(TLAmort,I16)</f>
        <v>6.0</v>
      </c>
      <c r="J17" s="113">
        <f>MIN(TLAmort,J16)</f>
        <v>6.0</v>
      </c>
      <c r="K17" s="113">
        <f>MIN(TLAmort,K16)</f>
        <v>6.0</v>
      </c>
      <c r="L17" s="113">
        <f>MIN(TLAmort,L16)</f>
        <v>6.0</v>
      </c>
      <c r="M17" s="113">
        <f>MIN(TLAmort,M16)</f>
        <v>6.0</v>
      </c>
      <c r="N17" s="113">
        <f>MIN(TLAmort,N16)</f>
        <v>6.0</v>
      </c>
      <c r="O17" s="113">
        <f>MIN(TLAmort,O16)</f>
        <v>6.0</v>
      </c>
    </row>
    <row r="18">
      <c r="B18" s="26" t="inlineStr">
        <is>
          <t>Term loan — ending balance</t>
        </is>
      </c>
      <c r="F18" s="113">
        <f>F16-F17</f>
        <v>592.5</v>
      </c>
      <c r="G18" s="113">
        <f>G16-G17</f>
        <v>586.5</v>
      </c>
      <c r="H18" s="113">
        <f>H16-H17</f>
        <v>580.5</v>
      </c>
      <c r="I18" s="113">
        <f>I16-I17</f>
        <v>574.5</v>
      </c>
      <c r="J18" s="113">
        <f>J16-J17</f>
        <v>568.5</v>
      </c>
      <c r="K18" s="113">
        <f>K16-K17</f>
        <v>562.5</v>
      </c>
      <c r="L18" s="113">
        <f>L16-L17</f>
        <v>556.5</v>
      </c>
      <c r="M18" s="113">
        <f>M16-M17</f>
        <v>550.5</v>
      </c>
      <c r="N18" s="113">
        <f>N16-N17</f>
        <v>544.5</v>
      </c>
      <c r="O18" s="113">
        <f>O16-O17</f>
        <v>538.5</v>
      </c>
    </row>
    <row r="19">
      <c r="B19" s="26" t="inlineStr">
        <is>
          <t>Term loan interest (beginning bal. x rate)</t>
        </is>
      </c>
      <c r="F19" s="113">
        <f>F16*$H$5</f>
        <v>38.24415</v>
      </c>
      <c r="G19" s="113">
        <f>G16*$H$5</f>
        <v>37.860749999999996</v>
      </c>
      <c r="H19" s="113">
        <f>H16*$H$5</f>
        <v>37.47735</v>
      </c>
      <c r="I19" s="113">
        <f>I16*$H$5</f>
        <v>37.09395</v>
      </c>
      <c r="J19" s="113">
        <f>J16*$H$5</f>
        <v>36.71055</v>
      </c>
      <c r="K19" s="113">
        <f>K16*$H$5</f>
        <v>36.327149999999996</v>
      </c>
      <c r="L19" s="113">
        <f>L16*$H$5</f>
        <v>35.94375</v>
      </c>
      <c r="M19" s="113">
        <f>M16*$H$5</f>
        <v>35.56035</v>
      </c>
      <c r="N19" s="113">
        <f>N16*$H$5</f>
        <v>35.17695</v>
      </c>
      <c r="O19" s="113">
        <f>O16*$H$5</f>
        <v>34.793549999999996</v>
      </c>
    </row>
    <row r="20">
      <c r="B20" s="26" t="inlineStr">
        <is>
          <t>Revolver balance</t>
        </is>
      </c>
      <c r="F20" s="113">
        <f>$D$6</f>
        <v>0.0</v>
      </c>
      <c r="G20" s="113">
        <f>$D$6</f>
        <v>0.0</v>
      </c>
      <c r="H20" s="113">
        <f>$D$6</f>
        <v>0.0</v>
      </c>
      <c r="I20" s="113">
        <f>$D$6</f>
        <v>0.0</v>
      </c>
      <c r="J20" s="113">
        <f>$D$6</f>
        <v>0.0</v>
      </c>
      <c r="K20" s="113">
        <f>$D$6</f>
        <v>0.0</v>
      </c>
      <c r="L20" s="113">
        <f>$D$6</f>
        <v>0.0</v>
      </c>
      <c r="M20" s="113">
        <f>$D$6</f>
        <v>0.0</v>
      </c>
      <c r="N20" s="113">
        <f>$D$6</f>
        <v>0.0</v>
      </c>
      <c r="O20" s="113">
        <f>$D$6</f>
        <v>0.0</v>
      </c>
    </row>
    <row r="21">
      <c r="B21" s="26" t="inlineStr">
        <is>
          <t>Revolver interest</t>
        </is>
      </c>
      <c r="F21" s="113">
        <f>F20*$H$6</f>
        <v>0.0</v>
      </c>
      <c r="G21" s="113">
        <f>G20*$H$6</f>
        <v>0.0</v>
      </c>
      <c r="H21" s="113">
        <f>H20*$H$6</f>
        <v>0.0</v>
      </c>
      <c r="I21" s="113">
        <f>I20*$H$6</f>
        <v>0.0</v>
      </c>
      <c r="J21" s="113">
        <f>J20*$H$6</f>
        <v>0.0</v>
      </c>
      <c r="K21" s="113">
        <f>K20*$H$6</f>
        <v>0.0</v>
      </c>
      <c r="L21" s="113">
        <f>L20*$H$6</f>
        <v>0.0</v>
      </c>
      <c r="M21" s="113">
        <f>M20*$H$6</f>
        <v>0.0</v>
      </c>
      <c r="N21" s="113">
        <f>N20*$H$6</f>
        <v>0.0</v>
      </c>
      <c r="O21" s="113">
        <f>O20*$H$6</f>
        <v>0.0</v>
      </c>
    </row>
    <row r="22">
      <c r="B22" s="60" t="inlineStr">
        <is>
          <t>Total interest expense</t>
        </is>
      </c>
      <c r="F22" s="127">
        <f>F19+F21</f>
        <v>38.24415</v>
      </c>
      <c r="G22" s="127">
        <f>G19+G21</f>
        <v>37.860749999999996</v>
      </c>
      <c r="H22" s="127">
        <f>H19+H21</f>
        <v>37.47735</v>
      </c>
      <c r="I22" s="127">
        <f>I19+I21</f>
        <v>37.09395</v>
      </c>
      <c r="J22" s="127">
        <f>J19+J21</f>
        <v>36.71055</v>
      </c>
      <c r="K22" s="127">
        <f>K19+K21</f>
        <v>36.327149999999996</v>
      </c>
      <c r="L22" s="127">
        <f>L19+L21</f>
        <v>35.94375</v>
      </c>
      <c r="M22" s="127">
        <f>M19+M21</f>
        <v>35.56035</v>
      </c>
      <c r="N22" s="127">
        <f>N19+N21</f>
        <v>35.17695</v>
      </c>
      <c r="O22" s="127">
        <f>O19+O21</f>
        <v>34.793549999999996</v>
      </c>
    </row>
    <row r="24">
      <c r="B24" s="30" t="inlineStr">
        <is>
          <t>Term loan matures 12/19/2032 (FY33). Model assumes refinancing on the same terms with 1% amortization continuing; floating rate — each ±100bp moves interest ~$6m/yr (10-K Item 7A).</t>
        </is>
      </c>
    </row>
    <row r="25">
      <c r="B25" s="30" t="inlineStr">
        <is>
          <t>Undrawn revolver commitment fees and OID amortization are excluded (immaterial to UFCF).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xSplit="5" ySplit="7" topLeftCell="F8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ColWidth="8.875" defaultRowHeight="15"/>
  <cols>
    <col width="2.95703125" customWidth="1" style="94" min="1" max="1"/>
    <col width="39.953125" customWidth="1" style="94" min="2" max="2"/>
    <col width="2.95703125" customWidth="1" style="94" min="3" max="4"/>
    <col width="12.5078125" customWidth="1" style="94" min="5" max="15"/>
    <col width="2.95703125" customWidth="1" style="94" min="16" max="16"/>
    <col width="34.03125" customWidth="1" style="94" min="17" max="17"/>
    <col width="13.046875" customWidth="1" style="94" min="18" max="18"/>
  </cols>
  <sheetData>
    <row r="1" ht="18.75" customHeight="1" s="94">
      <c r="A1" s="24" t="str">
        <f>"Discounted Cash Flows for "&amp;Name</f>
        <v>Discounted Cash Flows for Forgent Power Solutions, Inc.</v>
      </c>
    </row>
    <row r="2">
      <c r="A2" s="25" t="inlineStr">
        <is>
          <t>(Dollars in Millions unless stated)</t>
        </is>
      </c>
    </row>
    <row r="3">
      <c r="B3" s="30" t="inlineStr">
        <is>
          <t>Year #</t>
        </is>
      </c>
      <c r="F3" s="76" t="n">
        <v>1</v>
      </c>
      <c r="G3" s="76" t="n">
        <v>2</v>
      </c>
      <c r="H3" s="76" t="n">
        <v>3</v>
      </c>
      <c r="I3" s="76" t="n">
        <v>4</v>
      </c>
      <c r="J3" s="76" t="n">
        <v>5</v>
      </c>
      <c r="K3" s="76" t="n">
        <v>6</v>
      </c>
      <c r="L3" s="76" t="n">
        <v>7</v>
      </c>
      <c r="M3" s="76" t="n">
        <v>8</v>
      </c>
      <c r="N3" s="76" t="n">
        <v>9</v>
      </c>
      <c r="O3" s="76" t="n">
        <v>10</v>
      </c>
    </row>
    <row r="4">
      <c r="F4" s="25" t="str">
        <f>"Projected — fiscal years ending "&amp;TEXT(FYE,"mmmm d")</f>
        <v>Projected — fiscal years ending June 30</v>
      </c>
    </row>
    <row r="5">
      <c r="B5" s="32" t="inlineStr">
        <is>
          <t>Fiscal year</t>
        </is>
      </c>
      <c r="F5" s="53" t="str">
        <f>Inc_Stmt!F5</f>
        <v>FY27E</v>
      </c>
      <c r="G5" s="53" t="str">
        <f>Inc_Stmt!G5</f>
        <v>FY28E</v>
      </c>
      <c r="H5" s="53" t="str">
        <f>Inc_Stmt!H5</f>
        <v>FY29E</v>
      </c>
      <c r="I5" s="53" t="str">
        <f>Inc_Stmt!I5</f>
        <v>FY30E</v>
      </c>
      <c r="J5" s="53" t="str">
        <f>Inc_Stmt!J5</f>
        <v>FY31E</v>
      </c>
      <c r="K5" s="53" t="str">
        <f>Inc_Stmt!K5</f>
        <v>FY32E</v>
      </c>
      <c r="L5" s="53" t="str">
        <f>Inc_Stmt!L5</f>
        <v>FY33E</v>
      </c>
      <c r="M5" s="53" t="str">
        <f>Inc_Stmt!M5</f>
        <v>FY34E</v>
      </c>
      <c r="N5" s="53" t="str">
        <f>Inc_Stmt!N5</f>
        <v>FY35E</v>
      </c>
      <c r="O5" s="53" t="str">
        <f>Inc_Stmt!O5</f>
        <v>FY36E</v>
      </c>
      <c r="Q5" s="29" t="inlineStr">
        <is>
          <t>Terminal Value Calculation</t>
        </is>
      </c>
      <c r="R5" s="4" t="n"/>
    </row>
    <row r="6">
      <c r="B6" s="26" t="inlineStr">
        <is>
          <t>Fiscal year end</t>
        </is>
      </c>
      <c r="F6" s="131">
        <f>EDATE(FYE,12*F3)</f>
        <v>46568.0</v>
      </c>
      <c r="G6" s="131">
        <f>EDATE(FYE,12*G3)</f>
        <v>46934.0</v>
      </c>
      <c r="H6" s="131">
        <f>EDATE(FYE,12*H3)</f>
        <v>47299.0</v>
      </c>
      <c r="I6" s="131">
        <f>EDATE(FYE,12*I3)</f>
        <v>47664.0</v>
      </c>
      <c r="J6" s="131">
        <f>EDATE(FYE,12*J3)</f>
        <v>48029.0</v>
      </c>
      <c r="K6" s="131">
        <f>EDATE(FYE,12*K3)</f>
        <v>48395.0</v>
      </c>
      <c r="L6" s="131">
        <f>EDATE(FYE,12*L3)</f>
        <v>48760.0</v>
      </c>
      <c r="M6" s="131">
        <f>EDATE(FYE,12*M3)</f>
        <v>49125.0</v>
      </c>
      <c r="N6" s="131">
        <f>EDATE(FYE,12*N3)</f>
        <v>49490.0</v>
      </c>
      <c r="O6" s="131">
        <f>EDATE(FYE,12*O3)</f>
        <v>49856.0</v>
      </c>
    </row>
    <row r="7">
      <c r="B7" s="26" t="inlineStr">
        <is>
          <t>Discount period (years from valuation date)</t>
        </is>
      </c>
      <c r="F7" s="132">
        <f>(F6-valdate)/365-0.5*MidYear</f>
        <v>0.26164383561643834</v>
      </c>
      <c r="G7" s="132">
        <f>(G6-valdate)/365-0.5*MidYear</f>
        <v>1.2643835616438357</v>
      </c>
      <c r="H7" s="132">
        <f>(H6-valdate)/365-0.5*MidYear</f>
        <v>2.2643835616438355</v>
      </c>
      <c r="I7" s="132">
        <f>(I6-valdate)/365-0.5*MidYear</f>
        <v>3.2643835616438355</v>
      </c>
      <c r="J7" s="132">
        <f>(J6-valdate)/365-0.5*MidYear</f>
        <v>4.264383561643836</v>
      </c>
      <c r="K7" s="132">
        <f>(K6-valdate)/365-0.5*MidYear</f>
        <v>5.267123287671233</v>
      </c>
      <c r="L7" s="132">
        <f>(L6-valdate)/365-0.5*MidYear</f>
        <v>6.267123287671233</v>
      </c>
      <c r="M7" s="132">
        <f>(M6-valdate)/365-0.5*MidYear</f>
        <v>7.267123287671233</v>
      </c>
      <c r="N7" s="132">
        <f>(N6-valdate)/365-0.5*MidYear</f>
        <v>8.267123287671232</v>
      </c>
      <c r="O7" s="132">
        <f>(O6-valdate)/365-0.5*MidYear</f>
        <v>9.26986301369863</v>
      </c>
      <c r="Q7" s="26" t="str">
        <f>O5&amp;" EBITDA"</f>
        <v>FY36E EBITDA</v>
      </c>
      <c r="R7" s="113">
        <f>O10</f>
        <v>1430.8629663139363</v>
      </c>
    </row>
    <row r="8">
      <c r="Q8" s="26" t="inlineStr">
        <is>
          <t>Exit EV / EBITDA multiple</t>
        </is>
      </c>
      <c r="R8" s="120">
        <f>ExitMult</f>
        <v>14.0</v>
      </c>
    </row>
    <row r="9">
      <c r="B9" s="26" t="inlineStr">
        <is>
          <t>Revenue</t>
        </is>
      </c>
      <c r="F9" s="113">
        <f>Inc_Stmt!F12</f>
        <v>2501.2599999999998</v>
      </c>
      <c r="G9" s="113">
        <f>Inc_Stmt!G12</f>
        <v>3266.9584999999997</v>
      </c>
      <c r="H9" s="113">
        <f>Inc_Stmt!H12</f>
        <v>3909.8604200000004</v>
      </c>
      <c r="I9" s="113">
        <f>Inc_Stmt!I12</f>
        <v>4448.180373000001</v>
      </c>
      <c r="J9" s="113">
        <f>Inc_Stmt!J12</f>
        <v>4886.675313660001</v>
      </c>
      <c r="K9" s="113">
        <f>Inc_Stmt!K12</f>
        <v>5277.398086006201</v>
      </c>
      <c r="L9" s="113">
        <f>Inc_Stmt!L12</f>
        <v>5613.419700260757</v>
      </c>
      <c r="M9" s="113">
        <f>Inc_Stmt!M12</f>
        <v>5890.484338569802</v>
      </c>
      <c r="N9" s="113">
        <f>Inc_Stmt!N12</f>
        <v>6123.452110158449</v>
      </c>
      <c r="O9" s="113">
        <f>Inc_Stmt!O12</f>
        <v>6307.155673463202</v>
      </c>
      <c r="Q9" s="26" t="inlineStr">
        <is>
          <t>Terminal value — exit multiple</t>
        </is>
      </c>
      <c r="R9" s="122">
        <f>R7*R8</f>
        <v>20032.08152839511</v>
      </c>
    </row>
    <row r="10">
      <c r="B10" s="26" t="inlineStr">
        <is>
          <t>EBITDA (GAAP, SBC expensed)</t>
        </is>
      </c>
      <c r="F10" s="113">
        <f>Inc_Stmt!F40</f>
        <v>586.5790076999998</v>
      </c>
      <c r="G10" s="113">
        <f>Inc_Stmt!G40</f>
        <v>817.6653429049998</v>
      </c>
      <c r="H10" s="113">
        <f>Inc_Stmt!H40</f>
        <v>999.9760034864499</v>
      </c>
      <c r="I10" s="113">
        <f>Inc_Stmt!I40</f>
        <v>1134.830911263389</v>
      </c>
      <c r="J10" s="113">
        <f>Inc_Stmt!J40</f>
        <v>1236.2820514841144</v>
      </c>
      <c r="K10" s="113">
        <f>Inc_Stmt!K40</f>
        <v>1304.121621375418</v>
      </c>
      <c r="L10" s="113">
        <f>Inc_Stmt!L40</f>
        <v>1354.9689076995353</v>
      </c>
      <c r="M10" s="113">
        <f>Inc_Stmt!M40</f>
        <v>1389.9170147501086</v>
      </c>
      <c r="N10" s="113">
        <f>Inc_Stmt!N40</f>
        <v>1411.0819282060156</v>
      </c>
      <c r="O10" s="113">
        <f>Inc_Stmt!O40</f>
        <v>1430.8629663139363</v>
      </c>
    </row>
    <row r="11">
      <c r="B11" s="26" t="str">
        <f>Inc_Stmt!B20</f>
        <v>Operating income (EBIT)</v>
      </c>
      <c r="F11" s="113">
        <f>Inc_Stmt!F20</f>
        <v>530.5454576999998</v>
      </c>
      <c r="G11" s="113">
        <f>Inc_Stmt!G20</f>
        <v>753.4274354049998</v>
      </c>
      <c r="H11" s="113">
        <f>Inc_Stmt!H20</f>
        <v>936.53015681145</v>
      </c>
      <c r="I11" s="113">
        <f>Inc_Stmt!I20</f>
        <v>1071.054863770639</v>
      </c>
      <c r="J11" s="113">
        <f>Inc_Stmt!J20</f>
        <v>1169.3047823319769</v>
      </c>
      <c r="K11" s="113">
        <f>Inc_Stmt!K20</f>
        <v>1232.7694731403662</v>
      </c>
      <c r="L11" s="113">
        <f>Inc_Stmt!L20</f>
        <v>1278.6004582957653</v>
      </c>
      <c r="M11" s="113">
        <f>Inc_Stmt!M20</f>
        <v>1306.497030827378</v>
      </c>
      <c r="N11" s="113">
        <f>Inc_Stmt!N20</f>
        <v>1321.4746391222425</v>
      </c>
      <c r="O11" s="113">
        <f>Inc_Stmt!O20</f>
        <v>1335.7938300103722</v>
      </c>
      <c r="Q11" s="26" t="str">
        <f>O5&amp;" unlevered FCF"</f>
        <v>FY36E unlevered FCF</v>
      </c>
      <c r="R11" s="113">
        <f>O17</f>
        <v>968.3167857968978</v>
      </c>
    </row>
    <row r="12">
      <c r="B12" s="26" t="inlineStr">
        <is>
          <t>Less: taxes on EBIT</t>
        </is>
      </c>
      <c r="F12" s="113">
        <f>-F11*TaxRate</f>
        <v>-132.63636442499995</v>
      </c>
      <c r="G12" s="113">
        <f>-G11*TaxRate</f>
        <v>-188.35685885124994</v>
      </c>
      <c r="H12" s="113">
        <f>-H11*TaxRate</f>
        <v>-234.1325392028625</v>
      </c>
      <c r="I12" s="113">
        <f>-I11*TaxRate</f>
        <v>-267.76371594265976</v>
      </c>
      <c r="J12" s="113">
        <f>-J11*TaxRate</f>
        <v>-292.3261955829942</v>
      </c>
      <c r="K12" s="113">
        <f>-K11*TaxRate</f>
        <v>-308.19236828509156</v>
      </c>
      <c r="L12" s="113">
        <f>-L11*TaxRate</f>
        <v>-319.6501145739413</v>
      </c>
      <c r="M12" s="113">
        <f>-M11*TaxRate</f>
        <v>-326.6242577068445</v>
      </c>
      <c r="N12" s="113">
        <f>-N11*TaxRate</f>
        <v>-330.3686597805606</v>
      </c>
      <c r="O12" s="113">
        <f>-O11*TaxRate</f>
        <v>-333.94845750259304</v>
      </c>
      <c r="Q12" s="26" t="inlineStr">
        <is>
          <t>Terminal growth</t>
        </is>
      </c>
      <c r="R12" s="116">
        <f>TGR</f>
        <v>0.03</v>
      </c>
    </row>
    <row r="13">
      <c r="B13" s="60" t="inlineStr">
        <is>
          <t>NOPAT</t>
        </is>
      </c>
      <c r="F13" s="127">
        <f>F11+F12</f>
        <v>397.90909327499986</v>
      </c>
      <c r="G13" s="127">
        <f>G11+G12</f>
        <v>565.0705765537498</v>
      </c>
      <c r="H13" s="127">
        <f>H11+H12</f>
        <v>702.3976176085874</v>
      </c>
      <c r="I13" s="127">
        <f>I11+I12</f>
        <v>803.2911478279793</v>
      </c>
      <c r="J13" s="127">
        <f>J11+J12</f>
        <v>876.9785867489827</v>
      </c>
      <c r="K13" s="127">
        <f>K11+K12</f>
        <v>924.5771048552747</v>
      </c>
      <c r="L13" s="127">
        <f>L11+L12</f>
        <v>958.950343721824</v>
      </c>
      <c r="M13" s="127">
        <f>M11+M12</f>
        <v>979.8727731205336</v>
      </c>
      <c r="N13" s="127">
        <f>N11+N12</f>
        <v>991.1059793416819</v>
      </c>
      <c r="O13" s="127">
        <f>O11+O12</f>
        <v>1001.8453725077791</v>
      </c>
      <c r="Q13" s="26" t="inlineStr">
        <is>
          <t>WACC</t>
        </is>
      </c>
      <c r="R13" s="70">
        <f>WACC</f>
        <v>0.09752513281970122</v>
      </c>
    </row>
    <row r="14">
      <c r="B14" s="26" t="inlineStr">
        <is>
          <t>Plus: depreciation &amp; amortization</t>
        </is>
      </c>
      <c r="F14" s="113">
        <f>Inc_Stmt!F39</f>
        <v>56.03355</v>
      </c>
      <c r="G14" s="113">
        <f>Inc_Stmt!G39</f>
        <v>64.23790749999999</v>
      </c>
      <c r="H14" s="113">
        <f>Inc_Stmt!H39</f>
        <v>63.445846675000006</v>
      </c>
      <c r="I14" s="113">
        <f>Inc_Stmt!I39</f>
        <v>63.776047492749996</v>
      </c>
      <c r="J14" s="113">
        <f>Inc_Stmt!J39</f>
        <v>66.9772691521375</v>
      </c>
      <c r="K14" s="113">
        <f>Inc_Stmt!K39</f>
        <v>71.35214823505187</v>
      </c>
      <c r="L14" s="113">
        <f>Inc_Stmt!L39</f>
        <v>76.36844940376993</v>
      </c>
      <c r="M14" s="113">
        <f>Inc_Stmt!M39</f>
        <v>83.41998392273062</v>
      </c>
      <c r="N14" s="113">
        <f>Inc_Stmt!N39</f>
        <v>89.60728908377321</v>
      </c>
      <c r="O14" s="113">
        <f>Inc_Stmt!O39</f>
        <v>95.06913630356428</v>
      </c>
      <c r="Q14" s="26" t="inlineStr">
        <is>
          <t>Terminal value — Gordon growth</t>
        </is>
      </c>
      <c r="R14" s="122">
        <f>R11*(1+R12)/(R13-R12)</f>
        <v>14770.297335569427</v>
      </c>
    </row>
    <row r="15">
      <c r="B15" s="26" t="inlineStr">
        <is>
          <t>Less: capital expenditures</t>
        </is>
      </c>
      <c r="F15" s="113">
        <f>Inc_Stmt!F44</f>
        <v>-87.01259999999999</v>
      </c>
      <c r="G15" s="113">
        <f>Inc_Stmt!G44</f>
        <v>-39.203502</v>
      </c>
      <c r="H15" s="113">
        <f>Inc_Stmt!H44</f>
        <v>-50.82818546</v>
      </c>
      <c r="I15" s="113">
        <f>Inc_Stmt!I44</f>
        <v>-62.274525222000015</v>
      </c>
      <c r="J15" s="113">
        <f>Inc_Stmt!J44</f>
        <v>-73.30012970490002</v>
      </c>
      <c r="K15" s="113">
        <f>Inc_Stmt!K44</f>
        <v>-81.95115602650557</v>
      </c>
      <c r="L15" s="113">
        <f>Inc_Stmt!L44</f>
        <v>-100.53567953017449</v>
      </c>
      <c r="M15" s="113">
        <f>Inc_Stmt!M44</f>
        <v>-101.82568499634782</v>
      </c>
      <c r="N15" s="113">
        <f>Inc_Stmt!N44</f>
        <v>-103.17660388238038</v>
      </c>
      <c r="O15" s="113">
        <f>Inc_Stmt!O44</f>
        <v>-103.53736942926241</v>
      </c>
    </row>
    <row r="16">
      <c r="B16" s="26" t="inlineStr">
        <is>
          <t>Less: increase in NWC</t>
        </is>
      </c>
      <c r="F16" s="113">
        <f>-Inc_Stmt!F53</f>
        <v>-136.16830054794514</v>
      </c>
      <c r="G16" s="113">
        <f>-Inc_Stmt!G53</f>
        <v>-94.59489619178106</v>
      </c>
      <c r="H16" s="113">
        <f>-Inc_Stmt!H53</f>
        <v>-79.26627871775327</v>
      </c>
      <c r="I16" s="113">
        <f>-Inc_Stmt!I53</f>
        <v>-67.42862994851271</v>
      </c>
      <c r="J16" s="113">
        <f>-Inc_Stmt!J53</f>
        <v>-56.183281291831236</v>
      </c>
      <c r="K16" s="113">
        <f>-Inc_Stmt!K53</f>
        <v>-51.759817012782946</v>
      </c>
      <c r="L16" s="113">
        <f>-Inc_Stmt!L53</f>
        <v>-45.24014570129543</v>
      </c>
      <c r="M16" s="113">
        <f>-Inc_Stmt!M53</f>
        <v>-38.095204478102914</v>
      </c>
      <c r="N16" s="113">
        <f>-Inc_Stmt!N53</f>
        <v>-32.75494613609908</v>
      </c>
      <c r="O16" s="113">
        <f>-Inc_Stmt!O53</f>
        <v>-25.060353585183066</v>
      </c>
      <c r="Q16" s="26" t="inlineStr">
        <is>
          <t>Weight on Gordon</t>
        </is>
      </c>
      <c r="R16" s="116">
        <f>TVweight</f>
        <v>0.5</v>
      </c>
    </row>
    <row r="17">
      <c r="B17" s="60" t="inlineStr">
        <is>
          <t>Unlevered free cash flow</t>
        </is>
      </c>
      <c r="F17" s="127">
        <f>SUM(F13:F16)</f>
        <v>230.76174272705475</v>
      </c>
      <c r="G17" s="127">
        <f>SUM(G13:G16)</f>
        <v>495.5100858619688</v>
      </c>
      <c r="H17" s="127">
        <f>SUM(H13:H16)</f>
        <v>635.7490001058342</v>
      </c>
      <c r="I17" s="127">
        <f>SUM(I13:I16)</f>
        <v>737.3640401502166</v>
      </c>
      <c r="J17" s="127">
        <f>SUM(J13:J16)</f>
        <v>814.472444904389</v>
      </c>
      <c r="K17" s="127">
        <f>SUM(K13:K16)</f>
        <v>862.218280051038</v>
      </c>
      <c r="L17" s="127">
        <f>SUM(L13:L16)</f>
        <v>889.5429678941239</v>
      </c>
      <c r="M17" s="127">
        <f>SUM(M13:M16)</f>
        <v>923.3718675688134</v>
      </c>
      <c r="N17" s="127">
        <f>SUM(N13:N16)</f>
        <v>944.7817184069755</v>
      </c>
      <c r="O17" s="127">
        <f>SUM(O13:O16)</f>
        <v>968.3167857968978</v>
      </c>
      <c r="Q17" s="26" t="inlineStr">
        <is>
          <t>Blended terminal value</t>
        </is>
      </c>
      <c r="R17" s="122">
        <f>R16*R14+(1-R16)*R9</f>
        <v>17401.189431982268</v>
      </c>
    </row>
    <row r="18">
      <c r="B18" s="26" t="inlineStr">
        <is>
          <t xml:space="preserve">   UFCF margin</t>
        </is>
      </c>
      <c r="F18" s="116">
        <f>F17/F9</f>
        <v>0.0922581989585468</v>
      </c>
      <c r="G18" s="116">
        <f>G17/G9</f>
        <v>0.15167321098874345</v>
      </c>
      <c r="H18" s="116">
        <f>H17/H9</f>
        <v>0.16260145678188534</v>
      </c>
      <c r="I18" s="116">
        <f>I17/I9</f>
        <v>0.16576756748128757</v>
      </c>
      <c r="J18" s="116">
        <f>J17/J9</f>
        <v>0.1666721017104713</v>
      </c>
      <c r="K18" s="116">
        <f>K17/K9</f>
        <v>0.1633794278921912</v>
      </c>
      <c r="L18" s="116">
        <f>L17/L9</f>
        <v>0.15846721168075184</v>
      </c>
      <c r="M18" s="116">
        <f>M17/M9</f>
        <v>0.15675652705207027</v>
      </c>
      <c r="N18" s="116">
        <f>N17/N9</f>
        <v>0.1542890679000556</v>
      </c>
      <c r="O18" s="116">
        <f>O17/O9</f>
        <v>0.153526698234357</v>
      </c>
      <c r="Q18" s="26" t="inlineStr">
        <is>
          <t>TV discount period (year-end)</t>
        </is>
      </c>
      <c r="R18" s="132">
        <f>O7+0.5*MidYear</f>
        <v>9.76986301369863</v>
      </c>
    </row>
    <row r="19">
      <c r="B19" s="26" t="inlineStr">
        <is>
          <t>WACC</t>
        </is>
      </c>
      <c r="F19" s="70">
        <f>WACC</f>
        <v>0.09752513281970122</v>
      </c>
      <c r="Q19" s="26" t="inlineStr">
        <is>
          <t>PV of blended TV</t>
        </is>
      </c>
      <c r="R19" s="113">
        <f>R17/(1+WACC)^R18</f>
        <v>7010.275057316557</v>
      </c>
    </row>
    <row r="20">
      <c r="B20" s="26" t="inlineStr">
        <is>
          <t>Discount factor</t>
        </is>
      </c>
      <c r="F20" s="133">
        <f>1/(1+WACC)^F7</f>
        <v>0.9759460304485149</v>
      </c>
      <c r="G20" s="133">
        <f>1/(1+WACC)^G7</f>
        <v>0.8889976300600585</v>
      </c>
      <c r="H20" s="133">
        <f>1/(1+WACC)^H7</f>
        <v>0.8100020705458421</v>
      </c>
      <c r="I20" s="133">
        <f>1/(1+WACC)^I7</f>
        <v>0.738025988038041</v>
      </c>
      <c r="J20" s="133">
        <f>1/(1+WACC)^J7</f>
        <v>0.6724456378888974</v>
      </c>
      <c r="K20" s="133">
        <f>1/(1+WACC)^K7</f>
        <v>0.6125365130618158</v>
      </c>
      <c r="L20" s="133">
        <f>1/(1+WACC)^L7</f>
        <v>0.5581070489822139</v>
      </c>
      <c r="M20" s="133">
        <f>1/(1+WACC)^M7</f>
        <v>0.5085141399435253</v>
      </c>
      <c r="N20" s="133">
        <f>1/(1+WACC)^N7</f>
        <v>0.4633280138533856</v>
      </c>
      <c r="O20" s="133">
        <f>1/(1+WACC)^O7</f>
        <v>0.4220494713901323</v>
      </c>
      <c r="Q20" s="26" t="inlineStr">
        <is>
          <t>PV of Gordon TV</t>
        </is>
      </c>
      <c r="R20" s="113">
        <f>R14/(1+WACC)^R18</f>
        <v>5950.389046991501</v>
      </c>
    </row>
    <row r="21">
      <c r="B21" s="26" t="inlineStr">
        <is>
          <t>PV of unlevered FCF</t>
        </is>
      </c>
      <c r="F21" s="113">
        <f>F17*F20</f>
        <v>225.21100679385054</v>
      </c>
      <c r="G21" s="113">
        <f>G17*G20</f>
        <v>440.50729200214636</v>
      </c>
      <c r="H21" s="113">
        <f>H17*H20</f>
        <v>514.9580064331744</v>
      </c>
      <c r="I21" s="113">
        <f>I17*I20</f>
        <v>544.1938242755854</v>
      </c>
      <c r="J21" s="113">
        <f>J17*J20</f>
        <v>547.6884427566617</v>
      </c>
      <c r="K21" s="113">
        <f>K17*K20</f>
        <v>528.140178760619</v>
      </c>
      <c r="L21" s="113">
        <f>L17*L20</f>
        <v>496.4602007542697</v>
      </c>
      <c r="M21" s="113">
        <f>M17*M20</f>
        <v>469.54765108480194</v>
      </c>
      <c r="N21" s="113">
        <f>N17*N20</f>
        <v>437.74383711449264</v>
      </c>
      <c r="O21" s="113">
        <f>O17*O20</f>
        <v>408.6775875837727</v>
      </c>
      <c r="Q21" s="26" t="inlineStr">
        <is>
          <t>PV of exit-multiple TV</t>
        </is>
      </c>
      <c r="R21" s="113">
        <f>R9/(1+WACC)^R18</f>
        <v>8070.161067641612</v>
      </c>
    </row>
    <row r="24">
      <c r="B24" s="29" t="inlineStr">
        <is>
          <t>Valuation Summary</t>
        </is>
      </c>
      <c r="C24" s="4" t="n"/>
      <c r="D24" s="4" t="n"/>
      <c r="E24" s="4" t="n"/>
    </row>
    <row r="25">
      <c r="B25" s="26" t="inlineStr">
        <is>
          <t>Sum of PV of UFCF (FY27–FY36)</t>
        </is>
      </c>
      <c r="E25" s="113">
        <f>SUM(F21:O21)</f>
        <v>4613.1280275593745</v>
      </c>
    </row>
    <row r="26">
      <c r="B26" s="26" t="inlineStr">
        <is>
          <t>PV of terminal value (blended)</t>
        </is>
      </c>
      <c r="E26" s="113">
        <f>R19</f>
        <v>7010.275057316557</v>
      </c>
    </row>
    <row r="27">
      <c r="B27" s="32" t="inlineStr">
        <is>
          <t>Implied enterprise value</t>
        </is>
      </c>
      <c r="E27" s="134">
        <f>E25+E26</f>
        <v>11623.403084875932</v>
      </c>
    </row>
    <row r="28">
      <c r="B28" s="26" t="inlineStr">
        <is>
          <t>Less: total debt</t>
        </is>
      </c>
      <c r="E28" s="113">
        <f>-totaldebt</f>
        <v>-598.5</v>
      </c>
    </row>
    <row r="29">
      <c r="B29" s="26" t="inlineStr">
        <is>
          <t>Plus: cash &amp; equivalents</t>
        </is>
      </c>
      <c r="E29" s="113">
        <f>cash</f>
        <v>97.477</v>
      </c>
    </row>
    <row r="30">
      <c r="B30" s="26" t="inlineStr">
        <is>
          <t>Less: TRA liability</t>
        </is>
      </c>
      <c r="E30" s="113">
        <f>-TRA</f>
        <v>-338.925</v>
      </c>
      <c r="G30" s="31" t="inlineStr">
        <is>
          <t>TRA pays 85% of step-up tax savings to pre-IPO owners; net claim ≈ $34m</t>
        </is>
      </c>
    </row>
    <row r="31">
      <c r="B31" s="26" t="inlineStr">
        <is>
          <t>Plus: deferred tax asset backing TRA</t>
        </is>
      </c>
      <c r="E31" s="113">
        <f>DTA</f>
        <v>280.971</v>
      </c>
    </row>
    <row r="32">
      <c r="B32" s="26" t="inlineStr">
        <is>
          <t>Plus: TRA-restricted cash</t>
        </is>
      </c>
      <c r="E32" s="113">
        <f>rcash</f>
        <v>24.236</v>
      </c>
    </row>
    <row r="33">
      <c r="B33" s="26" t="inlineStr">
        <is>
          <t>Less: minority interest (see note)</t>
        </is>
      </c>
      <c r="E33" s="113">
        <f>-mininterest</f>
        <v>-0.0</v>
      </c>
      <c r="G33" s="31" t="inlineStr">
        <is>
          <t>Book NCI $107.1m not subtracted: Class B units are in the 305.1m fully-exchanged share count</t>
        </is>
      </c>
    </row>
    <row r="34">
      <c r="B34" s="26" t="inlineStr">
        <is>
          <t>Less: preferred stock</t>
        </is>
      </c>
      <c r="E34" s="113">
        <f>-prefstock</f>
        <v>-0.0</v>
      </c>
    </row>
    <row r="35">
      <c r="B35" s="32" t="inlineStr">
        <is>
          <t>Implied equity value</t>
        </is>
      </c>
      <c r="E35" s="134">
        <f>SUM(E27:E34)</f>
        <v>11088.662084875932</v>
      </c>
    </row>
    <row r="36">
      <c r="B36" s="26" t="inlineStr">
        <is>
          <t>Diluted shares, fully exchanged (MM)</t>
        </is>
      </c>
      <c r="E36" s="129">
        <f>DilutedShares</f>
        <v>305.12388</v>
      </c>
    </row>
    <row r="37">
      <c r="B37" s="32" t="inlineStr">
        <is>
          <t>Implied value per share</t>
        </is>
      </c>
      <c r="E37" s="135">
        <f>E35/E36</f>
        <v>36.34150852065703</v>
      </c>
    </row>
    <row r="38">
      <c r="B38" s="26" t="inlineStr">
        <is>
          <t>Current share price</t>
        </is>
      </c>
      <c r="E38" s="108">
        <f>shareprice</f>
        <v>38.97</v>
      </c>
    </row>
    <row r="39">
      <c r="B39" s="32" t="inlineStr">
        <is>
          <t>Upside / (downside)</t>
        </is>
      </c>
      <c r="E39" s="121">
        <f>E37/E38-1</f>
        <v>-0.06744910134316062</v>
      </c>
    </row>
    <row r="40">
      <c r="B40" s="26" t="inlineStr">
        <is>
          <t>Net claims (debt − cash + TRA − DTA − restricted cash + MI + pref)</t>
        </is>
      </c>
      <c r="E40" s="113">
        <f>-SUM(E28:E34)</f>
        <v>534.7410000000001</v>
      </c>
    </row>
    <row r="42">
      <c r="B42" s="29" t="inlineStr">
        <is>
          <t>Method Cross-Check</t>
        </is>
      </c>
      <c r="C42" s="4" t="n"/>
      <c r="D42" s="4" t="n"/>
      <c r="E42" s="4" t="n"/>
    </row>
    <row r="43">
      <c r="B43" s="26" t="inlineStr">
        <is>
          <t>Implied price — Gordon growth only</t>
        </is>
      </c>
      <c r="E43" s="108">
        <f>(E25+R20-NetClaims)/DilutedShares</f>
        <v>32.86788328252406</v>
      </c>
    </row>
    <row r="44">
      <c r="B44" s="26" t="inlineStr">
        <is>
          <t>Implied price — exit multiple only</t>
        </is>
      </c>
      <c r="E44" s="108">
        <f>(E25+R21-NetClaims)/DilutedShares</f>
        <v>39.81513375879</v>
      </c>
    </row>
    <row r="45">
      <c r="B45" s="26" t="inlineStr">
        <is>
          <t>PV of TV as % of EV (blended)</t>
        </is>
      </c>
      <c r="E45" s="116">
        <f>E26/E27</f>
        <v>0.6031172631738241</v>
      </c>
      <c r="G45" s="31" t="inlineStr">
        <is>
          <t>Flag if &gt; 75%</t>
        </is>
      </c>
    </row>
    <row r="46">
      <c r="B46" s="26" t="inlineStr">
        <is>
          <t>Implied exit multiple from Gordon TV</t>
        </is>
      </c>
      <c r="E46" s="120">
        <f>R14/R7</f>
        <v>10.322649815739778</v>
      </c>
    </row>
    <row r="47">
      <c r="B47" s="26" t="inlineStr">
        <is>
          <t>Implied perpetual growth from exit TV</t>
        </is>
      </c>
      <c r="E47" s="116">
        <f>(R9*WACC-R11)/(R9+R11)</f>
        <v>0.04691885416521105</v>
      </c>
      <c r="G47" s="31" t="inlineStr">
        <is>
          <t>Should be ≤ long-run nominal GDP (~3–4%); higher means the exit multiple is rich</t>
        </is>
      </c>
    </row>
    <row r="48">
      <c r="B48" s="26" t="inlineStr">
        <is>
          <t>Exit-multiple TV / Gordon TV</t>
        </is>
      </c>
      <c r="E48" s="120">
        <f>R9/R14</f>
        <v>1.3562409119655565</v>
      </c>
    </row>
    <row r="51">
      <c r="B51" s="29" t="inlineStr">
        <is>
          <t>Sensitivity Analysis — implied value per share</t>
        </is>
      </c>
      <c r="C51" s="4" t="n"/>
      <c r="D51" s="4" t="n"/>
      <c r="E51" s="4" t="n"/>
      <c r="F51" s="4" t="n"/>
      <c r="G51" s="4" t="n"/>
      <c r="H51" s="4" t="n"/>
      <c r="I51" s="4" t="n"/>
    </row>
    <row r="53">
      <c r="B53" s="32" t="inlineStr">
        <is>
          <t>Gordon growth: WACC (rows) × terminal growth (cols)</t>
        </is>
      </c>
    </row>
    <row r="54">
      <c r="E54" s="82" t="inlineStr">
        <is>
          <t>WACC \ g</t>
        </is>
      </c>
      <c r="F54" s="136">
        <f>TGR-0.01</f>
        <v>0.019999999999999997</v>
      </c>
      <c r="G54" s="136">
        <f>TGR-0.005</f>
        <v>0.024999999999999998</v>
      </c>
      <c r="H54" s="136">
        <f>TGR+0</f>
        <v>0.03</v>
      </c>
      <c r="I54" s="136">
        <f>TGR+0.005</f>
        <v>0.034999999999999996</v>
      </c>
      <c r="J54" s="136">
        <f>TGR+0.01</f>
        <v>0.04</v>
      </c>
    </row>
    <row r="55">
      <c r="E55" s="69">
        <f>WACC-0.01</f>
        <v>0.08752513281970123</v>
      </c>
      <c r="F55" s="108">
        <f>(SUMPRODUCT($F$17:$O$17,1/(1+$E55)^$F$7:$O$7)+$O$17*(1+F$54)/($E55-F$54)/(1+$E55)^$R$18-NetClaims)/DilutedShares</f>
        <v>35.18336093218128</v>
      </c>
      <c r="G55" s="108">
        <f>(SUMPRODUCT($F$17:$O$17,1/(1+$E55)^$F$7:$O$7)+$O$17*(1+G$54)/($E55-G$54)/(1+$E55)^$R$18-NetClaims)/DilutedShares</f>
        <v>36.98398688994924</v>
      </c>
      <c r="H55" s="108">
        <f>(SUMPRODUCT($F$17:$O$17,1/(1+$E55)^$F$7:$O$7)+$O$17*(1+H$54)/($E55-H$54)/(1+$E55)^$R$18-NetClaims)/DilutedShares</f>
        <v>39.097628371455606</v>
      </c>
      <c r="I55" s="108">
        <f>(SUMPRODUCT($F$17:$O$17,1/(1+$E55)^$F$7:$O$7)+$O$17*(1+I$54)/($E55-I$54)/(1+$E55)^$R$18-NetClaims)/DilutedShares</f>
        <v>41.61367559056604</v>
      </c>
      <c r="J55" s="108">
        <f>(SUMPRODUCT($F$17:$O$17,1/(1+$E55)^$F$7:$O$7)+$O$17*(1+J$54)/($E55-J$54)/(1+$E55)^$R$18-NetClaims)/DilutedShares</f>
        <v>44.65913684175413</v>
      </c>
    </row>
    <row r="56">
      <c r="E56" s="69">
        <f>WACC-0.005</f>
        <v>0.09252513281970122</v>
      </c>
      <c r="F56" s="108">
        <f>(SUMPRODUCT($F$17:$O$17,1/(1+$E56)^$F$7:$O$7)+$O$17*(1+F$54)/($E56-F$54)/(1+$E56)^$R$18-NetClaims)/DilutedShares</f>
        <v>32.5106684046391</v>
      </c>
      <c r="G56" s="108">
        <f>(SUMPRODUCT($F$17:$O$17,1/(1+$E56)^$F$7:$O$7)+$O$17*(1+G$54)/($E56-G$54)/(1+$E56)^$R$18-NetClaims)/DilutedShares</f>
        <v>34.00180989269995</v>
      </c>
      <c r="H56" s="108">
        <f>(SUMPRODUCT($F$17:$O$17,1/(1+$E56)^$F$7:$O$7)+$O$17*(1+H$54)/($E56-H$54)/(1+$E56)^$R$18-NetClaims)/DilutedShares</f>
        <v>35.73143811734412</v>
      </c>
      <c r="I56" s="108">
        <f>(SUMPRODUCT($F$17:$O$17,1/(1+$E56)^$F$7:$O$7)+$O$17*(1+I$54)/($E56-I$54)/(1+$E56)^$R$18-NetClaims)/DilutedShares</f>
        <v>37.76173982849119</v>
      </c>
      <c r="J56" s="108">
        <f>(SUMPRODUCT($F$17:$O$17,1/(1+$E56)^$F$7:$O$7)+$O$17*(1+J$54)/($E56-J$54)/(1+$E56)^$R$18-NetClaims)/DilutedShares</f>
        <v>40.17858063095599</v>
      </c>
    </row>
    <row r="57">
      <c r="E57" s="69">
        <f>WACC+0</f>
        <v>0.09752513281970122</v>
      </c>
      <c r="F57" s="108">
        <f>(SUMPRODUCT($F$17:$O$17,1/(1+$E57)^$F$7:$O$7)+$O$17*(1+F$54)/($E57-F$54)/(1+$E57)^$R$18-NetClaims)/DilutedShares</f>
        <v>30.187456838798497</v>
      </c>
      <c r="G57" s="108">
        <f>(SUMPRODUCT($F$17:$O$17,1/(1+$E57)^$F$7:$O$7)+$O$17*(1+G$54)/($E57-G$54)/(1+$E57)^$R$18-NetClaims)/DilutedShares</f>
        <v>31.435273592722726</v>
      </c>
      <c r="H57" s="137">
        <f>(SUMPRODUCT($F$17:$O$17,1/(1+$E57)^$F$7:$O$7)+$O$17*(1+H$54)/($E57-H$54)/(1+$E57)^$R$18-NetClaims)/DilutedShares</f>
        <v>32.86788328252406</v>
      </c>
      <c r="I57" s="108">
        <f>(SUMPRODUCT($F$17:$O$17,1/(1+$E57)^$F$7:$O$7)+$O$17*(1+I$54)/($E57-I$54)/(1+$E57)^$R$18-NetClaims)/DilutedShares</f>
        <v>34.52961838561037</v>
      </c>
      <c r="J57" s="108">
        <f>(SUMPRODUCT($F$17:$O$17,1/(1+$E57)^$F$7:$O$7)+$O$17*(1+J$54)/($E57-J$54)/(1+$E57)^$R$18-NetClaims)/DilutedShares</f>
        <v>36.48022463451301</v>
      </c>
    </row>
    <row r="58">
      <c r="E58" s="69">
        <f>WACC+0.005</f>
        <v>0.10252513281970123</v>
      </c>
      <c r="F58" s="108">
        <f>(SUMPRODUCT($F$17:$O$17,1/(1+$E58)^$F$7:$O$7)+$O$17*(1+F$54)/($E58-F$54)/(1+$E58)^$R$18-NetClaims)/DilutedShares</f>
        <v>28.14995839421041</v>
      </c>
      <c r="G58" s="108">
        <f>(SUMPRODUCT($F$17:$O$17,1/(1+$E58)^$F$7:$O$7)+$O$17*(1+G$54)/($E58-G$54)/(1+$E58)^$R$18-NetClaims)/DilutedShares</f>
        <v>29.203717140020142</v>
      </c>
      <c r="H58" s="108">
        <f>(SUMPRODUCT($F$17:$O$17,1/(1+$E58)^$F$7:$O$7)+$O$17*(1+H$54)/($E58-H$54)/(1+$E58)^$R$18-NetClaims)/DilutedShares</f>
        <v>30.402771551599887</v>
      </c>
      <c r="I58" s="108">
        <f>(SUMPRODUCT($F$17:$O$17,1/(1+$E58)^$F$7:$O$7)+$O$17*(1+I$54)/($E58-I$54)/(1+$E58)^$R$18-NetClaims)/DilutedShares</f>
        <v>31.779397537126975</v>
      </c>
      <c r="J58" s="108">
        <f>(SUMPRODUCT($F$17:$O$17,1/(1+$E58)^$F$7:$O$7)+$O$17*(1+J$54)/($E58-J$54)/(1+$E58)^$R$18-NetClaims)/DilutedShares</f>
        <v>33.37619514379988</v>
      </c>
    </row>
    <row r="59">
      <c r="E59" s="69">
        <f>WACC+0.01</f>
        <v>0.10752513281970122</v>
      </c>
      <c r="F59" s="108">
        <f>(SUMPRODUCT($F$17:$O$17,1/(1+$E59)^$F$7:$O$7)+$O$17*(1+F$54)/($E59-F$54)/(1+$E59)^$R$18-NetClaims)/DilutedShares</f>
        <v>26.348991734827006</v>
      </c>
      <c r="G59" s="108">
        <f>(SUMPRODUCT($F$17:$O$17,1/(1+$E59)^$F$7:$O$7)+$O$17*(1+G$54)/($E59-G$54)/(1+$E59)^$R$18-NetClaims)/DilutedShares</f>
        <v>27.24604316811606</v>
      </c>
      <c r="H59" s="108">
        <f>(SUMPRODUCT($F$17:$O$17,1/(1+$E59)^$F$7:$O$7)+$O$17*(1+H$54)/($E59-H$54)/(1+$E59)^$R$18-NetClaims)/DilutedShares</f>
        <v>28.258805648992144</v>
      </c>
      <c r="I59" s="108">
        <f>(SUMPRODUCT($F$17:$O$17,1/(1+$E59)^$F$7:$O$7)+$O$17*(1+I$54)/($E59-I$54)/(1+$E59)^$R$18-NetClaims)/DilutedShares</f>
        <v>29.411211097967822</v>
      </c>
      <c r="J59" s="108">
        <f>(SUMPRODUCT($F$17:$O$17,1/(1+$E59)^$F$7:$O$7)+$O$17*(1+J$54)/($E59-J$54)/(1+$E59)^$R$18-NetClaims)/DilutedShares</f>
        <v>30.734279735722815</v>
      </c>
    </row>
    <row r="62">
      <c r="B62" s="32" t="inlineStr">
        <is>
          <t>Exit multiple: WACC (rows) × exit EV/EBITDA (cols)</t>
        </is>
      </c>
    </row>
    <row r="63">
      <c r="E63" s="82" t="inlineStr">
        <is>
          <t>WACC \ x</t>
        </is>
      </c>
      <c r="F63" s="138">
        <f>ExitMult-6</f>
        <v>8.0</v>
      </c>
      <c r="G63" s="138">
        <f>ExitMult-3</f>
        <v>11.0</v>
      </c>
      <c r="H63" s="138">
        <f>ExitMult+0</f>
        <v>14.0</v>
      </c>
      <c r="I63" s="138">
        <f>ExitMult+3</f>
        <v>17.0</v>
      </c>
      <c r="J63" s="138">
        <f>ExitMult+6</f>
        <v>20.0</v>
      </c>
    </row>
    <row r="64">
      <c r="E64" s="69">
        <f>WACC-0.01</f>
        <v>0.08752513281970123</v>
      </c>
      <c r="F64" s="108">
        <f>(SUMPRODUCT($F$17:$O$17,1/(1+$E64)^$F$7:$O$7)+$O$10*F$63/(1+$E64)^$R$18-NetClaims)/DilutedShares</f>
        <v>30.59198421956753</v>
      </c>
      <c r="G64" s="108">
        <f>(SUMPRODUCT($F$17:$O$17,1/(1+$E64)^$F$7:$O$7)+$O$10*G$63/(1+$E64)^$R$18-NetClaims)/DilutedShares</f>
        <v>36.789763527366595</v>
      </c>
      <c r="H64" s="108">
        <f>(SUMPRODUCT($F$17:$O$17,1/(1+$E64)^$F$7:$O$7)+$O$10*H$63/(1+$E64)^$R$18-NetClaims)/DilutedShares</f>
        <v>42.98754283516568</v>
      </c>
      <c r="I64" s="108">
        <f>(SUMPRODUCT($F$17:$O$17,1/(1+$E64)^$F$7:$O$7)+$O$10*I$63/(1+$E64)^$R$18-NetClaims)/DilutedShares</f>
        <v>49.18532214296475</v>
      </c>
      <c r="J64" s="108">
        <f>(SUMPRODUCT($F$17:$O$17,1/(1+$E64)^$F$7:$O$7)+$O$10*J$63/(1+$E64)^$R$18-NetClaims)/DilutedShares</f>
        <v>55.38310145076383</v>
      </c>
    </row>
    <row r="65">
      <c r="E65" s="69">
        <f>WACC-0.005</f>
        <v>0.09252513281970122</v>
      </c>
      <c r="F65" s="108">
        <f>(SUMPRODUCT($F$17:$O$17,1/(1+$E65)^$F$7:$O$7)+$O$10*F$63/(1+$E65)^$R$18-NetClaims)/DilutedShares</f>
        <v>29.512666413121625</v>
      </c>
      <c r="G65" s="108">
        <f>(SUMPRODUCT($F$17:$O$17,1/(1+$E65)^$F$7:$O$7)+$O$10*G$63/(1+$E65)^$R$18-NetClaims)/DilutedShares</f>
        <v>35.438824473138986</v>
      </c>
      <c r="H65" s="108">
        <f>(SUMPRODUCT($F$17:$O$17,1/(1+$E65)^$F$7:$O$7)+$O$10*H$63/(1+$E65)^$R$18-NetClaims)/DilutedShares</f>
        <v>41.36498253315634</v>
      </c>
      <c r="I65" s="108">
        <f>(SUMPRODUCT($F$17:$O$17,1/(1+$E65)^$F$7:$O$7)+$O$10*I$63/(1+$E65)^$R$18-NetClaims)/DilutedShares</f>
        <v>47.29114059317371</v>
      </c>
      <c r="J65" s="108">
        <f>(SUMPRODUCT($F$17:$O$17,1/(1+$E65)^$F$7:$O$7)+$O$10*J$63/(1+$E65)^$R$18-NetClaims)/DilutedShares</f>
        <v>53.21729865319107</v>
      </c>
    </row>
    <row r="66">
      <c r="E66" s="69">
        <f>WACC+0</f>
        <v>0.09752513281970122</v>
      </c>
      <c r="F66" s="108">
        <f>(SUMPRODUCT($F$17:$O$17,1/(1+$E66)^$F$7:$O$7)+$O$10*F$63/(1+$E66)^$R$18-NetClaims)/DilutedShares</f>
        <v>28.47993292966875</v>
      </c>
      <c r="G66" s="108">
        <f>(SUMPRODUCT($F$17:$O$17,1/(1+$E66)^$F$7:$O$7)+$O$10*G$63/(1+$E66)^$R$18-NetClaims)/DilutedShares</f>
        <v>34.14753334422937</v>
      </c>
      <c r="H66" s="137">
        <f>(SUMPRODUCT($F$17:$O$17,1/(1+$E66)^$F$7:$O$7)+$O$10*H$63/(1+$E66)^$R$18-NetClaims)/DilutedShares</f>
        <v>39.81513375879</v>
      </c>
      <c r="I66" s="108">
        <f>(SUMPRODUCT($F$17:$O$17,1/(1+$E66)^$F$7:$O$7)+$O$10*I$63/(1+$E66)^$R$18-NetClaims)/DilutedShares</f>
        <v>45.48273417335062</v>
      </c>
      <c r="J66" s="108">
        <f>(SUMPRODUCT($F$17:$O$17,1/(1+$E66)^$F$7:$O$7)+$O$10*J$63/(1+$E66)^$R$18-NetClaims)/DilutedShares</f>
        <v>51.15033458791124</v>
      </c>
    </row>
    <row r="67">
      <c r="E67" s="69">
        <f>WACC+0.005</f>
        <v>0.10252513281970123</v>
      </c>
      <c r="F67" s="108">
        <f>(SUMPRODUCT($F$17:$O$17,1/(1+$E67)^$F$7:$O$7)+$O$10*F$63/(1+$E67)^$R$18-NetClaims)/DilutedShares</f>
        <v>27.491486236123393</v>
      </c>
      <c r="G67" s="108">
        <f>(SUMPRODUCT($F$17:$O$17,1/(1+$E67)^$F$7:$O$7)+$O$10*G$63/(1+$E67)^$R$18-NetClaims)/DilutedShares</f>
        <v>32.912909039099034</v>
      </c>
      <c r="H67" s="108">
        <f>(SUMPRODUCT($F$17:$O$17,1/(1+$E67)^$F$7:$O$7)+$O$10*H$63/(1+$E67)^$R$18-NetClaims)/DilutedShares</f>
        <v>38.33433184207467</v>
      </c>
      <c r="I67" s="108">
        <f>(SUMPRODUCT($F$17:$O$17,1/(1+$E67)^$F$7:$O$7)+$O$10*I$63/(1+$E67)^$R$18-NetClaims)/DilutedShares</f>
        <v>43.75575464505031</v>
      </c>
      <c r="J67" s="108">
        <f>(SUMPRODUCT($F$17:$O$17,1/(1+$E67)^$F$7:$O$7)+$O$10*J$63/(1+$E67)^$R$18-NetClaims)/DilutedShares</f>
        <v>49.177177448025944</v>
      </c>
    </row>
    <row r="68">
      <c r="E68" s="69">
        <f>WACC+0.01</f>
        <v>0.10752513281970122</v>
      </c>
      <c r="F68" s="108">
        <f>(SUMPRODUCT($F$17:$O$17,1/(1+$E68)^$F$7:$O$7)+$O$10*F$63/(1+$E68)^$R$18-NetClaims)/DilutedShares</f>
        <v>26.545153911895458</v>
      </c>
      <c r="G68" s="108">
        <f>(SUMPRODUCT($F$17:$O$17,1/(1+$E68)^$F$7:$O$7)+$O$10*G$63/(1+$E68)^$R$18-NetClaims)/DilutedShares</f>
        <v>31.732134203906867</v>
      </c>
      <c r="H68" s="108">
        <f>(SUMPRODUCT($F$17:$O$17,1/(1+$E68)^$F$7:$O$7)+$O$10*H$63/(1+$E68)^$R$18-NetClaims)/DilutedShares</f>
        <v>36.91911449591828</v>
      </c>
      <c r="I68" s="108">
        <f>(SUMPRODUCT($F$17:$O$17,1/(1+$E68)^$F$7:$O$7)+$O$10*I$63/(1+$E68)^$R$18-NetClaims)/DilutedShares</f>
        <v>42.106094787929685</v>
      </c>
      <c r="J68" s="108">
        <f>(SUMPRODUCT($F$17:$O$17,1/(1+$E68)^$F$7:$O$7)+$O$10*J$63/(1+$E68)^$R$18-NetClaims)/DilutedShares</f>
        <v>47.2930750799411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xSplit="2" ySplit="6" topLeftCell="C7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ColWidth="8.875" defaultRowHeight="15"/>
  <cols>
    <col width="2.95703125" customWidth="1" style="94" min="1" max="1"/>
    <col width="25.9609375" customWidth="1" style="94" min="2" max="2"/>
    <col width="13.046875" customWidth="1" style="94" min="3" max="9"/>
    <col width="12.5078125" customWidth="1" style="94" min="10" max="15"/>
  </cols>
  <sheetData>
    <row r="1" ht="18.75" customHeight="1" s="94">
      <c r="A1" s="24" t="str">
        <f>"Comparable Companies Analysis for "&amp;Name</f>
        <v>Comparable Companies Analysis for Forgent Power Solutions, Inc.</v>
      </c>
    </row>
    <row r="2">
      <c r="A2" s="25" t="inlineStr">
        <is>
          <t>(Dollars in Millions except share price &amp; EPS)</t>
        </is>
      </c>
    </row>
    <row r="5">
      <c r="B5" s="32" t="inlineStr">
        <is>
          <t>Inputs for comparable companies analysis</t>
        </is>
      </c>
    </row>
    <row r="6">
      <c r="B6" s="72" t="inlineStr">
        <is>
          <t>Company</t>
        </is>
      </c>
      <c r="C6" s="53" t="inlineStr">
        <is>
          <t>Price</t>
        </is>
      </c>
      <c r="D6" s="53" t="inlineStr">
        <is>
          <t>Shares</t>
        </is>
      </c>
      <c r="E6" s="53" t="inlineStr">
        <is>
          <t>Mkt cap</t>
        </is>
      </c>
      <c r="F6" s="53" t="inlineStr">
        <is>
          <t>Net debt</t>
        </is>
      </c>
      <c r="G6" s="53" t="inlineStr">
        <is>
          <t>Enterprise value</t>
        </is>
      </c>
      <c r="H6" s="53" t="inlineStr">
        <is>
          <t>LTM revenue</t>
        </is>
      </c>
      <c r="I6" s="53" t="inlineStr">
        <is>
          <t>LTM EBITDA</t>
        </is>
      </c>
    </row>
    <row r="7">
      <c r="B7" s="26" t="str">
        <f>'Financial Data'!B8</f>
        <v>Eaton</v>
      </c>
      <c r="C7" s="108">
        <f>'Financial Data'!D8</f>
        <v>439.98</v>
      </c>
      <c r="D7" s="129">
        <f>'Financial Data'!E8</f>
        <v>388.4</v>
      </c>
      <c r="E7" s="129">
        <f>C7*D7</f>
        <v>170888.232</v>
      </c>
      <c r="F7" s="129">
        <f>'Financial Data'!G8-'Financial Data'!H8</f>
        <v>20631.0</v>
      </c>
      <c r="G7" s="129">
        <f>'Financial Data'!J8</f>
        <v>191564.232</v>
      </c>
      <c r="H7" s="129">
        <f>'Financial Data'!K8</f>
        <v>30026.0</v>
      </c>
      <c r="I7" s="129">
        <f>'Financial Data'!L8</f>
        <v>6640.0</v>
      </c>
    </row>
    <row r="8">
      <c r="B8" s="26" t="str">
        <f>'Financial Data'!B9</f>
        <v>Vertiv</v>
      </c>
      <c r="C8" s="108">
        <f>'Financial Data'!D9</f>
        <v>253.28</v>
      </c>
      <c r="D8" s="129">
        <f>'Financial Data'!E9</f>
        <v>384.99</v>
      </c>
      <c r="E8" s="129">
        <f>C8*D8</f>
        <v>97510.2672</v>
      </c>
      <c r="F8" s="129">
        <f>'Financial Data'!G9-'Financial Data'!H9</f>
        <v>227.0</v>
      </c>
      <c r="G8" s="129">
        <f>'Financial Data'!J9</f>
        <v>97737.2672</v>
      </c>
      <c r="H8" s="129">
        <f>'Financial Data'!K9</f>
        <v>11480.0</v>
      </c>
      <c r="I8" s="129">
        <f>'Financial Data'!L9</f>
        <v>2680.0</v>
      </c>
    </row>
    <row r="9">
      <c r="B9" s="26" t="str">
        <f>'Financial Data'!B10</f>
        <v>Hubbell</v>
      </c>
      <c r="C9" s="108">
        <f>'Financial Data'!D10</f>
        <v>466.62</v>
      </c>
      <c r="D9" s="129">
        <f>'Financial Data'!E10</f>
        <v>52.83</v>
      </c>
      <c r="E9" s="129">
        <f>C9*D9</f>
        <v>24651.5346</v>
      </c>
      <c r="F9" s="129">
        <f>'Financial Data'!G10-'Financial Data'!H10</f>
        <v>5162.3</v>
      </c>
      <c r="G9" s="129">
        <f>'Financial Data'!J10</f>
        <v>29824.934599999997</v>
      </c>
      <c r="H9" s="129">
        <f>'Financial Data'!K10</f>
        <v>6224.0</v>
      </c>
      <c r="I9" s="129">
        <f>'Financial Data'!L10</f>
        <v>1520.0</v>
      </c>
    </row>
    <row r="10">
      <c r="B10" s="26" t="str">
        <f>'Financial Data'!B11</f>
        <v>nVent</v>
      </c>
      <c r="C10" s="108">
        <f>'Financial Data'!D11</f>
        <v>164.41</v>
      </c>
      <c r="D10" s="129">
        <f>'Financial Data'!E11</f>
        <v>161.86</v>
      </c>
      <c r="E10" s="129">
        <f>C10*D10</f>
        <v>26611.4026</v>
      </c>
      <c r="F10" s="129">
        <f>'Financial Data'!G11-'Financial Data'!H11</f>
        <v>1377.0</v>
      </c>
      <c r="G10" s="129">
        <f>'Financial Data'!J11</f>
        <v>27988.4026</v>
      </c>
      <c r="H10" s="129">
        <f>'Financial Data'!K11</f>
        <v>4834.0</v>
      </c>
      <c r="I10" s="129">
        <f>'Financial Data'!L11</f>
        <v>1050.0</v>
      </c>
    </row>
    <row r="11">
      <c r="B11" s="26" t="str">
        <f>'Financial Data'!B12</f>
        <v>GE Vernova</v>
      </c>
      <c r="C11" s="108">
        <f>'Financial Data'!D12</f>
        <v>957.63</v>
      </c>
      <c r="D11" s="129">
        <f>'Financial Data'!E12</f>
        <v>266.33</v>
      </c>
      <c r="E11" s="129">
        <f>C11*D11</f>
        <v>255045.5979</v>
      </c>
      <c r="F11" s="129">
        <f>'Financial Data'!G12-'Financial Data'!H12</f>
        <v>-9000.0</v>
      </c>
      <c r="G11" s="129">
        <f>'Financial Data'!J12</f>
        <v>247203.5979</v>
      </c>
      <c r="H11" s="129">
        <f>'Financial Data'!K12</f>
        <v>41367.0</v>
      </c>
      <c r="I11" s="129">
        <f>'Financial Data'!L12</f>
        <v>3930.0</v>
      </c>
    </row>
    <row r="12">
      <c r="B12" s="26" t="str">
        <f>'Financial Data'!B13</f>
        <v>Powell Industries</v>
      </c>
      <c r="C12" s="108">
        <f>'Financial Data'!D13</f>
        <v>189.53</v>
      </c>
      <c r="D12" s="129">
        <f>'Financial Data'!E13</f>
        <v>36.43</v>
      </c>
      <c r="E12" s="129">
        <f>C12*D12</f>
        <v>6904.5779</v>
      </c>
      <c r="F12" s="129">
        <f>'Financial Data'!G13-'Financial Data'!H13</f>
        <v>-631.04</v>
      </c>
      <c r="G12" s="129">
        <f>'Financial Data'!J13</f>
        <v>6273.537900000001</v>
      </c>
      <c r="H12" s="129">
        <f>'Financial Data'!K13</f>
        <v>1158.0</v>
      </c>
      <c r="I12" s="129">
        <f>'Financial Data'!L13</f>
        <v>236.2</v>
      </c>
    </row>
    <row r="14">
      <c r="B14" s="32" t="str">
        <f>Name</f>
        <v>Forgent Power Solutions, Inc.</v>
      </c>
      <c r="C14" s="108">
        <f>shareprice</f>
        <v>38.97</v>
      </c>
      <c r="D14" s="129">
        <f>DilutedShares</f>
        <v>305.12388</v>
      </c>
      <c r="E14" s="129">
        <f>marketcap</f>
        <v>11863.59380433</v>
      </c>
      <c r="F14" s="129">
        <f>NetClaims</f>
        <v>534.7410000000001</v>
      </c>
      <c r="G14" s="129">
        <f>Enterprise</f>
        <v>12398.33480433</v>
      </c>
      <c r="H14" s="129">
        <f>Inc_Stmt!E12</f>
        <v>1420.059</v>
      </c>
      <c r="I14" s="129">
        <f>Inc_Stmt!E43</f>
        <v>322.9</v>
      </c>
    </row>
    <row r="17">
      <c r="B17" s="32" t="inlineStr">
        <is>
          <t>Trading multiples</t>
        </is>
      </c>
    </row>
    <row r="18" ht="30" customHeight="1" s="94">
      <c r="B18" s="86" t="inlineStr">
        <is>
          <t>Company</t>
        </is>
      </c>
      <c r="C18" s="87" t="inlineStr">
        <is>
          <t>EV / LTM revenue</t>
        </is>
      </c>
      <c r="D18" s="87" t="inlineStr">
        <is>
          <t>EV / LTM EBITDA</t>
        </is>
      </c>
      <c r="E18" s="87" t="inlineStr">
        <is>
          <t>LTM P/E (GAAP)</t>
        </is>
      </c>
      <c r="F18" s="87" t="inlineStr">
        <is>
          <t>NTM P/E (adj.)</t>
        </is>
      </c>
      <c r="G18" s="87" t="inlineStr">
        <is>
          <t>LTM EBITDA margin</t>
        </is>
      </c>
    </row>
    <row r="19">
      <c r="B19" s="26" t="str">
        <f>B7</f>
        <v>Eaton</v>
      </c>
      <c r="C19" s="120">
        <f>IF(G7/H7&gt;0,G7/H7,"N/A")</f>
        <v>6.37994511423433</v>
      </c>
      <c r="D19" s="120">
        <f>IF(G7/I7&gt;0,G7/I7,"N/A")</f>
        <v>28.850034939759034</v>
      </c>
      <c r="E19" s="120">
        <f>IF(C7/'Financial Data'!M8&gt;0,C7/'Financial Data'!M8,"N/A")</f>
        <v>44.80448065173116</v>
      </c>
      <c r="F19" s="120">
        <f>IF(C7/'Financial Data'!N8&gt;0,C7/'Financial Data'!N8,"N/A")</f>
        <v>28.42248062015504</v>
      </c>
      <c r="G19" s="116">
        <f>I7/H7</f>
        <v>0.221141677213082</v>
      </c>
    </row>
    <row r="20">
      <c r="B20" s="26" t="str">
        <f>B8</f>
        <v>Vertiv</v>
      </c>
      <c r="C20" s="120">
        <f>IF(G8/H8&gt;0,G8/H8,"N/A")</f>
        <v>8.513699233449477</v>
      </c>
      <c r="D20" s="120">
        <f>IF(G8/I8&gt;0,G8/I8,"N/A")</f>
        <v>36.469129552238805</v>
      </c>
      <c r="E20" s="120">
        <f>IF(C8/'Financial Data'!M9&gt;0,C8/'Financial Data'!M9,"N/A")</f>
        <v>57.30316742081448</v>
      </c>
      <c r="F20" s="120">
        <f>IF(C8/'Financial Data'!N9&gt;0,C8/'Financial Data'!N9,"N/A")</f>
        <v>29.537026239067057</v>
      </c>
      <c r="G20" s="116">
        <f>I8/H8</f>
        <v>0.23344947735191637</v>
      </c>
      <c r="I20" s="30" t="inlineStr">
        <is>
          <t>GEV LTM P/E distorted by non-operating gains; medians are robust to it.</t>
        </is>
      </c>
    </row>
    <row r="21">
      <c r="B21" s="26" t="str">
        <f>B9</f>
        <v>Hubbell</v>
      </c>
      <c r="C21" s="120">
        <f>IF(G9/H9&gt;0,G9/H9,"N/A")</f>
        <v>4.791923939588688</v>
      </c>
      <c r="D21" s="120">
        <f>IF(G9/I9&gt;0,G9/I9,"N/A")</f>
        <v>19.621667499999997</v>
      </c>
      <c r="E21" s="120">
        <f>IF(C9/'Financial Data'!M10&gt;0,C9/'Financial Data'!M10,"N/A")</f>
        <v>27.610650887573968</v>
      </c>
      <c r="F21" s="120">
        <f>IF(C9/'Financial Data'!N10&gt;0,C9/'Financial Data'!N10,"N/A")</f>
        <v>20.91762860024655</v>
      </c>
      <c r="G21" s="116">
        <f>I9/H9</f>
        <v>0.2442159383033419</v>
      </c>
    </row>
    <row r="22">
      <c r="B22" s="26" t="str">
        <f>B10</f>
        <v>nVent</v>
      </c>
      <c r="C22" s="120">
        <f>IF(G10/H10&gt;0,G10/H10,"N/A")</f>
        <v>5.7899053785684735</v>
      </c>
      <c r="D22" s="120">
        <f>IF(G10/I10&gt;0,G10/I10,"N/A")</f>
        <v>26.655621523809526</v>
      </c>
      <c r="E22" s="120">
        <f>IF(C10/'Financial Data'!M11&gt;0,C10/'Financial Data'!M11,"N/A")</f>
        <v>45.04383561643836</v>
      </c>
      <c r="F22" s="120">
        <f>IF(C10/'Financial Data'!N11&gt;0,C10/'Financial Data'!N11,"N/A")</f>
        <v>26.560581583198704</v>
      </c>
      <c r="G22" s="116">
        <f>I10/H10</f>
        <v>0.21721141911460487</v>
      </c>
    </row>
    <row r="23">
      <c r="B23" s="26" t="str">
        <f>B11</f>
        <v>GE Vernova</v>
      </c>
      <c r="C23" s="120">
        <f>IF(G11/H11&gt;0,G11/H11,"N/A")</f>
        <v>5.9758647690187825</v>
      </c>
      <c r="D23" s="120">
        <f>IF(G11/I11&gt;0,G11/I11,"N/A")</f>
        <v>62.90167885496183</v>
      </c>
      <c r="E23" s="120">
        <f>IF(C11/'Financial Data'!M12&gt;0,C11/'Financial Data'!M12,"N/A")</f>
        <v>27.407842014882657</v>
      </c>
      <c r="F23" s="120">
        <f>IF(C11/'Financial Data'!N12&gt;0,C11/'Financial Data'!N12,"N/A")</f>
        <v>43.14620410002253</v>
      </c>
      <c r="G23" s="116">
        <f>I11/H11</f>
        <v>0.09500326347088259</v>
      </c>
    </row>
    <row r="24">
      <c r="B24" s="26" t="str">
        <f>B12</f>
        <v>Powell Industries</v>
      </c>
      <c r="C24" s="120">
        <f>IF(G12/H12&gt;0,G12/H12,"N/A")</f>
        <v>5.417562953367876</v>
      </c>
      <c r="D24" s="120">
        <f>IF(G12/I12&gt;0,G12/I12,"N/A")</f>
        <v>26.560279000846748</v>
      </c>
      <c r="E24" s="120">
        <f>IF(C12/'Financial Data'!M13&gt;0,C12/'Financial Data'!M13,"N/A")</f>
        <v>36.30842911877395</v>
      </c>
      <c r="F24" s="120">
        <f>IF(C12/'Financial Data'!N13&gt;0,C12/'Financial Data'!N13,"N/A")</f>
        <v>27.11444921316166</v>
      </c>
      <c r="G24" s="116">
        <f>I12/H12</f>
        <v>0.20397236614853195</v>
      </c>
    </row>
    <row r="26">
      <c r="B26" s="32" t="str">
        <f>B14</f>
        <v>Forgent Power Solutions, Inc.</v>
      </c>
      <c r="C26" s="139">
        <f>G14/H14</f>
        <v>8.730858932150001</v>
      </c>
      <c r="D26" s="139">
        <f>G14/I14</f>
        <v>38.39682503663673</v>
      </c>
      <c r="E26" s="139">
        <f>C14/'Financial Data'!M15</f>
        <v>111.98339227613522</v>
      </c>
      <c r="F26" s="139">
        <f>C14/'Financial Data'!N15</f>
        <v>29.082089552238802</v>
      </c>
      <c r="G26" s="121">
        <f>I14/H14</f>
        <v>0.22738491851394907</v>
      </c>
    </row>
    <row r="28">
      <c r="B28" s="89" t="inlineStr">
        <is>
          <t>Max</t>
        </is>
      </c>
      <c r="C28" s="120">
        <f>MAX(C19:C24)</f>
        <v>8.513699233449477</v>
      </c>
      <c r="D28" s="120">
        <f>MAX(D19:D24)</f>
        <v>62.90167885496183</v>
      </c>
      <c r="E28" s="120">
        <f>MAX(E19:E24)</f>
        <v>57.30316742081448</v>
      </c>
      <c r="F28" s="120">
        <f>MAX(F19:F24)</f>
        <v>43.14620410002253</v>
      </c>
      <c r="G28" s="116">
        <f>MAX(G19:G24)</f>
        <v>0.2442159383033419</v>
      </c>
    </row>
    <row r="29">
      <c r="B29" s="26" t="inlineStr">
        <is>
          <t>75th percentile</t>
        </is>
      </c>
      <c r="C29" s="120">
        <f>QUARTILE(C19:C24,3)</f>
        <v>6.278925027930443</v>
      </c>
      <c r="D29" s="120">
        <f>QUARTILE(D19:D24,3)</f>
        <v>34.564355899118866</v>
      </c>
      <c r="E29" s="120">
        <f>QUARTILE(E19:E24,3)</f>
        <v>44.98399687526156</v>
      </c>
      <c r="F29" s="120">
        <f>QUARTILE(F19:F24,3)</f>
        <v>29.258389834339052</v>
      </c>
      <c r="G29" s="116">
        <f>QUARTILE(G19:G24,3)</f>
        <v>0.23037252731720778</v>
      </c>
    </row>
    <row r="30">
      <c r="B30" s="32" t="inlineStr">
        <is>
          <t>Median</t>
        </is>
      </c>
      <c r="C30" s="139">
        <f>MEDIAN(C19:C24)</f>
        <v>5.882885073793628</v>
      </c>
      <c r="D30" s="139">
        <f>MEDIAN(D19:D24)</f>
        <v>27.752828231784278</v>
      </c>
      <c r="E30" s="139">
        <f>MEDIAN(E19:E24)</f>
        <v>40.556454885252556</v>
      </c>
      <c r="F30" s="139">
        <f>MEDIAN(F19:F24)</f>
        <v>27.76846491665835</v>
      </c>
      <c r="G30" s="121">
        <f>MEDIAN(G19:G24)</f>
        <v>0.21917654816384344</v>
      </c>
    </row>
    <row r="31">
      <c r="B31" s="26" t="inlineStr">
        <is>
          <t>Mean</t>
        </is>
      </c>
      <c r="C31" s="120">
        <f>AVERAGE(C19:C24)</f>
        <v>6.144816898037938</v>
      </c>
      <c r="D31" s="120">
        <f>AVERAGE(D19:D24)</f>
        <v>33.50973522860266</v>
      </c>
      <c r="E31" s="120">
        <f>AVERAGE(E19:E24)</f>
        <v>39.74640095170243</v>
      </c>
      <c r="F31" s="120">
        <f>AVERAGE(F19:F24)</f>
        <v>29.283061725975255</v>
      </c>
      <c r="G31" s="116">
        <f>AVERAGE(G19:G24)</f>
        <v>0.2024990236003933</v>
      </c>
    </row>
    <row r="32">
      <c r="B32" s="26" t="inlineStr">
        <is>
          <t>25th percentile</t>
        </is>
      </c>
      <c r="C32" s="120">
        <f>QUARTILE(C19:C24,1)</f>
        <v>5.5106485596680255</v>
      </c>
      <c r="D32" s="120">
        <f>QUARTILE(D19:D24,1)</f>
        <v>26.584114631587443</v>
      </c>
      <c r="E32" s="120">
        <f>QUARTILE(E19:E24,1)</f>
        <v>29.785095445373962</v>
      </c>
      <c r="F32" s="120">
        <f>QUARTILE(F19:F24,1)</f>
        <v>26.699048490689442</v>
      </c>
      <c r="G32" s="116">
        <f>QUARTILE(G19:G24,1)</f>
        <v>0.2072821293900502</v>
      </c>
    </row>
    <row r="33">
      <c r="B33" s="26" t="inlineStr">
        <is>
          <t>Min</t>
        </is>
      </c>
      <c r="C33" s="120">
        <f>MIN(C19:C24)</f>
        <v>4.791923939588688</v>
      </c>
      <c r="D33" s="120">
        <f>MIN(D19:D24)</f>
        <v>19.621667499999997</v>
      </c>
      <c r="E33" s="120">
        <f>MIN(E19:E24)</f>
        <v>27.407842014882657</v>
      </c>
      <c r="F33" s="120">
        <f>MIN(F19:F24)</f>
        <v>20.91762860024655</v>
      </c>
      <c r="G33" s="116">
        <f>MIN(G19:G24)</f>
        <v>0.09500326347088259</v>
      </c>
    </row>
    <row r="36">
      <c r="B36" s="32" t="str">
        <f>"Implied valuation of "&amp;Name</f>
        <v>Implied valuation of Forgent Power Solutions, Inc.</v>
      </c>
    </row>
    <row r="37">
      <c r="C37" s="53" t="inlineStr">
        <is>
          <t>LTM revenue</t>
        </is>
      </c>
      <c r="D37" s="53" t="inlineStr">
        <is>
          <t>LTM adj. EBITDA</t>
        </is>
      </c>
      <c r="E37" s="53" t="inlineStr">
        <is>
          <t>LTM EPS</t>
        </is>
      </c>
      <c r="F37" s="53" t="inlineStr">
        <is>
          <t>NTM EPS</t>
        </is>
      </c>
      <c r="G37" s="53" t="inlineStr">
        <is>
          <t>Primary (NTM P/E)</t>
        </is>
      </c>
    </row>
    <row r="38">
      <c r="B38" s="26" t="str">
        <f>Ticker&amp;" metric"</f>
        <v>FPS metric</v>
      </c>
      <c r="C38" s="129">
        <f>H14</f>
        <v>1420.059</v>
      </c>
      <c r="D38" s="129">
        <f>I14</f>
        <v>322.9</v>
      </c>
      <c r="E38" s="108">
        <f>'Financial Data'!M15</f>
        <v>0.34799803085001646</v>
      </c>
      <c r="F38" s="108">
        <f>'Financial Data'!N15</f>
        <v>1.34</v>
      </c>
    </row>
    <row r="40">
      <c r="B40" s="59" t="inlineStr">
        <is>
          <t>Implied share price</t>
        </is>
      </c>
    </row>
    <row r="41">
      <c r="B41" s="26" t="inlineStr">
        <is>
          <t>Max</t>
        </is>
      </c>
      <c r="C41" s="108">
        <f>(C28*C$38-NetClaims)/DilutedShares</f>
        <v>37.87056660315486</v>
      </c>
      <c r="D41" s="108">
        <f>(D28*D$38-NetClaims)/DilutedShares</f>
        <v>64.81371140884539</v>
      </c>
      <c r="E41" s="108">
        <f>E28*E$38</f>
        <v>19.941389423912256</v>
      </c>
      <c r="F41" s="108">
        <f>F28*F$38</f>
        <v>57.81591349403019</v>
      </c>
      <c r="G41" s="111">
        <f>F41</f>
        <v>57.81591349403019</v>
      </c>
    </row>
    <row r="42">
      <c r="B42" s="26" t="inlineStr">
        <is>
          <t>75th percentile</t>
        </is>
      </c>
      <c r="C42" s="108">
        <f>(C29*C$38-NetClaims)/DilutedShares</f>
        <v>27.46983617354983</v>
      </c>
      <c r="D42" s="108">
        <f>(D29*D$38-NetClaims)/DilutedShares</f>
        <v>34.82549291070067</v>
      </c>
      <c r="E42" s="108">
        <f>E29*E$38</f>
        <v>15.654342332354316</v>
      </c>
      <c r="F42" s="108">
        <f>F29*F$38</f>
        <v>39.20624237801433</v>
      </c>
      <c r="G42" s="111">
        <f>F42</f>
        <v>39.20624237801433</v>
      </c>
    </row>
    <row r="43">
      <c r="B43" s="32" t="inlineStr">
        <is>
          <t>Median</t>
        </is>
      </c>
      <c r="C43" s="108">
        <f>(C30*C$38-NetClaims)/DilutedShares</f>
        <v>25.626650051140885</v>
      </c>
      <c r="D43" s="108">
        <f>(D30*D$38-NetClaims)/DilutedShares</f>
        <v>27.61713450957409</v>
      </c>
      <c r="E43" s="108">
        <f>E30*E$38</f>
        <v>14.11356643832542</v>
      </c>
      <c r="F43" s="108">
        <f>F30*F$38</f>
        <v>37.20974298832219</v>
      </c>
      <c r="G43" s="111">
        <f>F43</f>
        <v>37.20974298832219</v>
      </c>
    </row>
    <row r="44">
      <c r="B44" s="26" t="inlineStr">
        <is>
          <t>25th percentile</t>
        </is>
      </c>
      <c r="C44" s="108">
        <f>(C32*C$38-NetClaims)/DilutedShares</f>
        <v>23.89424611077185</v>
      </c>
      <c r="D44" s="108">
        <f>(D32*D$38-NetClaims)/DilutedShares</f>
        <v>26.380333176608747</v>
      </c>
      <c r="E44" s="108">
        <f>E32*E$38</f>
        <v>10.365154563669932</v>
      </c>
      <c r="F44" s="108">
        <f>F32*F$38</f>
        <v>35.776724977523855</v>
      </c>
      <c r="G44" s="111">
        <f>F44</f>
        <v>35.776724977523855</v>
      </c>
    </row>
    <row r="45">
      <c r="B45" s="26" t="inlineStr">
        <is>
          <t>Min</t>
        </is>
      </c>
      <c r="C45" s="108">
        <f>(C33*C$38-NetClaims)/DilutedShares</f>
        <v>20.549272373333654</v>
      </c>
      <c r="D45" s="108">
        <f>(D33*D$38-NetClaims)/DilutedShares</f>
        <v>19.01226293972795</v>
      </c>
      <c r="E45" s="108">
        <f>E33*E$38</f>
        <v>9.537875051027513</v>
      </c>
      <c r="F45" s="108">
        <f>F33*F$38</f>
        <v>28.02962232433038</v>
      </c>
      <c r="G45" s="111">
        <f>F45</f>
        <v>28.02962232433038</v>
      </c>
    </row>
    <row r="47">
      <c r="B47" s="30" t="inlineStr">
        <is>
          <t>Primary comps method = NTM P/E: FPS FY26 LTM EBITDA/revenue understate run-rate for a company guiding +76% revenue growth, and peer consensus EBITDA was not available to build NTM EV/EBITDA.</t>
        </is>
      </c>
    </row>
    <row r="48">
      <c r="B48" s="30" t="inlineStr">
        <is>
          <t>EV-based prices subtract FPS net claims (debt − cash + TRA − DTA − restricted cash).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ColWidth="8.875" defaultRowHeight="15"/>
  <cols>
    <col width="2.95703125" customWidth="1" style="94" min="1" max="1"/>
    <col width="25.9609375" customWidth="1" style="94" min="2" max="2"/>
    <col width="7.93359375" customWidth="1" style="94" min="3" max="3"/>
    <col width="9.953125" customWidth="1" style="94" min="4" max="4"/>
    <col width="11.02734375" customWidth="1" style="94" min="5" max="5"/>
    <col width="11.97265625" customWidth="1" style="94" min="6" max="6"/>
    <col width="11.02734375" customWidth="1" style="94" min="7" max="8"/>
    <col width="9.01171875" customWidth="1" style="94" min="9" max="9"/>
    <col width="11.97265625" customWidth="1" style="94" min="10" max="10"/>
    <col width="11.02734375" customWidth="1" style="94" min="11" max="12"/>
    <col width="9.953125" customWidth="1" style="94" min="13" max="14"/>
    <col width="11.02734375" customWidth="1" style="94" min="15" max="15"/>
    <col width="29.99609375" customWidth="1" style="94" min="16" max="16"/>
  </cols>
  <sheetData>
    <row r="1" ht="18.75" customHeight="1" s="94">
      <c r="A1" s="24" t="inlineStr">
        <is>
          <t>Comparable Company Financial Data</t>
        </is>
      </c>
    </row>
    <row r="2">
      <c r="A2" s="25" t="inlineStr">
        <is>
          <t>(Dollars in Millions except per share; prices at 9/25/2026 close; balance sheets at quarter ended 6/30/2026)</t>
        </is>
      </c>
    </row>
    <row r="7" ht="30" customHeight="1" s="94">
      <c r="B7" s="86" t="inlineStr">
        <is>
          <t>Company</t>
        </is>
      </c>
      <c r="C7" s="87" t="inlineStr">
        <is>
          <t>Ticker</t>
        </is>
      </c>
      <c r="D7" s="87" t="inlineStr">
        <is>
          <t>Price</t>
        </is>
      </c>
      <c r="E7" s="87" t="inlineStr">
        <is>
          <t>Shares (MM)</t>
        </is>
      </c>
      <c r="F7" s="87" t="inlineStr">
        <is>
          <t>Market cap</t>
        </is>
      </c>
      <c r="G7" s="87" t="inlineStr">
        <is>
          <t>Total debt</t>
        </is>
      </c>
      <c r="H7" s="87" t="inlineStr">
        <is>
          <t>Cash &amp; STI</t>
        </is>
      </c>
      <c r="I7" s="87" t="inlineStr">
        <is>
          <t>Minority int.</t>
        </is>
      </c>
      <c r="J7" s="87" t="inlineStr">
        <is>
          <t>Enterprise value</t>
        </is>
      </c>
      <c r="K7" s="87" t="inlineStr">
        <is>
          <t>LTM revenue</t>
        </is>
      </c>
      <c r="L7" s="87" t="inlineStr">
        <is>
          <t>LTM EBITDA</t>
        </is>
      </c>
      <c r="M7" s="87" t="inlineStr">
        <is>
          <t>LTM EPS (GAAP)</t>
        </is>
      </c>
      <c r="N7" s="87" t="inlineStr">
        <is>
          <t>NTM EPS (adj.)</t>
        </is>
      </c>
      <c r="O7" s="87" t="inlineStr">
        <is>
          <t>FYE</t>
        </is>
      </c>
      <c r="P7" s="86" t="inlineStr">
        <is>
          <t>Notes</t>
        </is>
      </c>
    </row>
    <row r="8">
      <c r="B8" s="26" t="inlineStr">
        <is>
          <t>Eaton</t>
        </is>
      </c>
      <c r="C8" s="26" t="inlineStr">
        <is>
          <t>ETN</t>
        </is>
      </c>
      <c r="D8" s="106" t="n">
        <v>439.98</v>
      </c>
      <c r="E8" s="128" t="n">
        <v>388.4</v>
      </c>
      <c r="F8" s="129">
        <f>D8*E8</f>
        <v>170888.232</v>
      </c>
      <c r="G8" s="128" t="n">
        <v>21326</v>
      </c>
      <c r="H8" s="128" t="n">
        <v>695</v>
      </c>
      <c r="I8" s="128" t="n">
        <v>45</v>
      </c>
      <c r="J8" s="129">
        <f>F8+G8+I8-H8</f>
        <v>191564.232</v>
      </c>
      <c r="K8" s="128" t="n">
        <v>30026</v>
      </c>
      <c r="L8" s="128" t="n">
        <v>6640</v>
      </c>
      <c r="M8" s="106" t="n">
        <v>9.82</v>
      </c>
      <c r="N8" s="106">
        <f>0.25*13.56+0.75*16.12</f>
        <v>15.48</v>
      </c>
      <c r="O8" s="90" t="inlineStr">
        <is>
          <t>Dec</t>
        </is>
      </c>
      <c r="P8" s="30" t="inlineStr">
        <is>
          <t>~25% of revenue in Aerospace/Mobility</t>
        </is>
      </c>
    </row>
    <row r="9">
      <c r="B9" s="26" t="inlineStr">
        <is>
          <t>Vertiv</t>
        </is>
      </c>
      <c r="C9" s="26" t="inlineStr">
        <is>
          <t>VRT</t>
        </is>
      </c>
      <c r="D9" s="106" t="n">
        <v>253.28</v>
      </c>
      <c r="E9" s="128" t="n">
        <v>384.99</v>
      </c>
      <c r="F9" s="129">
        <f>D9*E9</f>
        <v>97510.2672</v>
      </c>
      <c r="G9" s="128" t="n">
        <v>3338</v>
      </c>
      <c r="H9" s="128" t="n">
        <v>3111</v>
      </c>
      <c r="I9" s="128" t="n">
        <v>0</v>
      </c>
      <c r="J9" s="129">
        <f>F9+G9+I9-H9</f>
        <v>97737.2672</v>
      </c>
      <c r="K9" s="128" t="n">
        <v>11480</v>
      </c>
      <c r="L9" s="128" t="n">
        <v>2680</v>
      </c>
      <c r="M9" s="106" t="n">
        <v>4.42</v>
      </c>
      <c r="N9" s="106">
        <f>0.25*6.73+0.75*9.19</f>
        <v>8.575</v>
      </c>
      <c r="O9" s="90" t="inlineStr">
        <is>
          <t>Dec</t>
        </is>
      </c>
      <c r="P9" s="30" t="inlineStr">
        <is>
          <t>FY27 EPS from Finviz</t>
        </is>
      </c>
    </row>
    <row r="10">
      <c r="B10" s="26" t="inlineStr">
        <is>
          <t>Hubbell</t>
        </is>
      </c>
      <c r="C10" s="26" t="inlineStr">
        <is>
          <t>HUBB</t>
        </is>
      </c>
      <c r="D10" s="106" t="n">
        <v>466.62</v>
      </c>
      <c r="E10" s="128" t="n">
        <v>52.83</v>
      </c>
      <c r="F10" s="129">
        <f>D10*E10</f>
        <v>24651.5346</v>
      </c>
      <c r="G10" s="128" t="n">
        <v>5557</v>
      </c>
      <c r="H10" s="128" t="n">
        <v>394.7</v>
      </c>
      <c r="I10" s="128" t="n">
        <v>11.1</v>
      </c>
      <c r="J10" s="129">
        <f>F10+G10+I10-H10</f>
        <v>29824.934599999997</v>
      </c>
      <c r="K10" s="128" t="n">
        <v>6224</v>
      </c>
      <c r="L10" s="128" t="n">
        <v>1520</v>
      </c>
      <c r="M10" s="106" t="n">
        <v>16.9</v>
      </c>
      <c r="N10" s="106">
        <f>0.25*20.47+0.75*22.92</f>
        <v>22.3075</v>
      </c>
      <c r="O10" s="90" t="inlineStr">
        <is>
          <t>Dec</t>
        </is>
      </c>
      <c r="P10" s="30" t="n"/>
    </row>
    <row r="11">
      <c r="B11" s="26" t="inlineStr">
        <is>
          <t>nVent</t>
        </is>
      </c>
      <c r="C11" s="26" t="inlineStr">
        <is>
          <t>NVT</t>
        </is>
      </c>
      <c r="D11" s="106" t="n">
        <v>164.41</v>
      </c>
      <c r="E11" s="128" t="n">
        <v>161.86</v>
      </c>
      <c r="F11" s="129">
        <f>D11*E11</f>
        <v>26611.4026</v>
      </c>
      <c r="G11" s="128" t="n">
        <v>1633</v>
      </c>
      <c r="H11" s="128" t="n">
        <v>256</v>
      </c>
      <c r="I11" s="128" t="n">
        <v>0</v>
      </c>
      <c r="J11" s="129">
        <f>F11+G11+I11-H11</f>
        <v>27988.4026</v>
      </c>
      <c r="K11" s="128" t="n">
        <v>4834</v>
      </c>
      <c r="L11" s="128" t="n">
        <v>1050</v>
      </c>
      <c r="M11" s="106" t="n">
        <v>3.65</v>
      </c>
      <c r="N11" s="106">
        <f>0.25*5.14+0.75*6.54</f>
        <v>6.19</v>
      </c>
      <c r="O11" s="90" t="inlineStr">
        <is>
          <t>Dec</t>
        </is>
      </c>
      <c r="P11" s="30" t="inlineStr">
        <is>
          <t>FY26 growth ~40% incl. M&amp;A; FY27 EPS from Finviz</t>
        </is>
      </c>
    </row>
    <row r="12">
      <c r="B12" s="26" t="inlineStr">
        <is>
          <t>GE Vernova</t>
        </is>
      </c>
      <c r="C12" s="26" t="inlineStr">
        <is>
          <t>GEV</t>
        </is>
      </c>
      <c r="D12" s="106" t="n">
        <v>957.63</v>
      </c>
      <c r="E12" s="128" t="n">
        <v>266.33</v>
      </c>
      <c r="F12" s="129">
        <f>D12*E12</f>
        <v>255045.5979</v>
      </c>
      <c r="G12" s="128" t="n">
        <v>3720</v>
      </c>
      <c r="H12" s="128" t="n">
        <v>12720</v>
      </c>
      <c r="I12" s="128" t="n">
        <v>1158</v>
      </c>
      <c r="J12" s="129">
        <f>F12+G12+I12-H12</f>
        <v>247203.5979</v>
      </c>
      <c r="K12" s="128" t="n">
        <v>41367</v>
      </c>
      <c r="L12" s="128" t="n">
        <v>3930</v>
      </c>
      <c r="M12" s="106" t="n">
        <v>34.94</v>
      </c>
      <c r="N12" s="106">
        <f>0.25*15.16+0.75*24.54</f>
        <v>22.195</v>
      </c>
      <c r="O12" s="90" t="inlineStr">
        <is>
          <t>Dec</t>
        </is>
      </c>
      <c r="P12" s="30" t="inlineStr">
        <is>
          <t>LTM EPS inflated by non-op gains; EBITDA depressed by Wind</t>
        </is>
      </c>
    </row>
    <row r="13">
      <c r="B13" s="26" t="inlineStr">
        <is>
          <t>Powell Industries</t>
        </is>
      </c>
      <c r="C13" s="26" t="inlineStr">
        <is>
          <t>POWL</t>
        </is>
      </c>
      <c r="D13" s="106" t="n">
        <v>189.53</v>
      </c>
      <c r="E13" s="128" t="n">
        <v>36.43</v>
      </c>
      <c r="F13" s="129">
        <f>D13*E13</f>
        <v>6904.5779</v>
      </c>
      <c r="G13" s="128" t="n">
        <v>2.52</v>
      </c>
      <c r="H13" s="128" t="n">
        <v>633.5599999999999</v>
      </c>
      <c r="I13" s="128" t="n">
        <v>0</v>
      </c>
      <c r="J13" s="129">
        <f>F13+G13+I13-H13</f>
        <v>6273.537900000001</v>
      </c>
      <c r="K13" s="128" t="n">
        <v>1158</v>
      </c>
      <c r="L13" s="128" t="n">
        <v>236.2</v>
      </c>
      <c r="M13" s="106" t="n">
        <v>5.22</v>
      </c>
      <c r="N13" s="106" t="n">
        <v>6.99</v>
      </c>
      <c r="O13" s="90" t="inlineStr">
        <is>
          <t>Sep</t>
        </is>
      </c>
      <c r="P13" s="30" t="inlineStr">
        <is>
          <t>NTM = FY Sep-27 consensus; closest pure-play switchgear (not named in FPS 10-K)</t>
        </is>
      </c>
    </row>
    <row r="15">
      <c r="B15" s="32" t="inlineStr">
        <is>
          <t>Forgent Power Solutions</t>
        </is>
      </c>
      <c r="C15" s="32" t="str">
        <f>Ticker</f>
        <v>FPS</v>
      </c>
      <c r="D15" s="108">
        <f>shareprice</f>
        <v>38.97</v>
      </c>
      <c r="E15" s="129">
        <f>DilutedShares</f>
        <v>305.12388</v>
      </c>
      <c r="F15" s="129">
        <f>marketcap</f>
        <v>11863.59380433</v>
      </c>
      <c r="G15" s="129">
        <f>totaldebt</f>
        <v>598.5</v>
      </c>
      <c r="H15" s="129">
        <f>cash</f>
        <v>97.477</v>
      </c>
      <c r="I15" s="129">
        <f>TRA-DTA-rcash</f>
        <v>33.718</v>
      </c>
      <c r="J15" s="129">
        <f>Enterprise</f>
        <v>12398.33480433</v>
      </c>
      <c r="K15" s="129">
        <f>Inc_Stmt!E12</f>
        <v>1420.059</v>
      </c>
      <c r="L15" s="129">
        <f>Inc_Stmt!E43</f>
        <v>322.9</v>
      </c>
      <c r="M15" s="108">
        <f>Inc_Stmt!E36</f>
        <v>0.34799803085001646</v>
      </c>
      <c r="N15" s="106" t="n">
        <v>1.34</v>
      </c>
      <c r="O15" s="90" t="inlineStr">
        <is>
          <t>Jun</t>
        </is>
      </c>
      <c r="P15" s="30" t="inlineStr">
        <is>
          <t>Col I = net TRA claim. LTM EBITDA = adj. (IPO one-offs); NTM EPS = FY27 consensus</t>
        </is>
      </c>
    </row>
    <row r="18">
      <c r="B18" s="32" t="inlineStr">
        <is>
          <t>Sources</t>
        </is>
      </c>
    </row>
    <row r="19">
      <c r="B19" s="25" t="inlineStr">
        <is>
          <t>Prices / shares / beta: StockAnalysis.com quote &amp; statistics pages, 9/25/2026 close.</t>
        </is>
      </c>
    </row>
    <row r="20">
      <c r="B20" s="25" t="inlineStr">
        <is>
          <t>Debt, cash, minority interest: latest 10-Q balance sheets (quarter ended 6/30/2026) via StockAnalysis.</t>
        </is>
      </c>
    </row>
    <row r="21">
      <c r="B21" s="25" t="inlineStr">
        <is>
          <t>LTM revenue / EBITDA / GAAP EPS: StockAnalysis TTM to 6/30/2026 (EBITDA unadjusted; POWL TTM to fiscal Q3).</t>
        </is>
      </c>
    </row>
    <row r="22">
      <c r="B22" s="25" t="inlineStr">
        <is>
          <t>NTM EPS: calendarized 0.25 x FY26E + 0.75 x FY27E (adj. consensus, StockAnalysis forecast / Finviz 'EPS next Y').</t>
        </is>
      </c>
    </row>
    <row r="23">
      <c r="B23" s="25" t="inlineStr">
        <is>
          <t>NOT FOUND in free sources: peer consensus EBITDA and FY27 revenue — hence no NTM EV/EBITDA or EV/Revenue columns.</t>
        </is>
      </c>
    </row>
    <row r="24">
      <c r="B24" s="25" t="inlineStr">
        <is>
          <t>FPS: 10-K FY26 (filed 9/15/2026); FY27 EPS consensus $1.34 (StockAnalysis, 9/24/2026).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96" customWidth="1" style="94" min="1" max="1"/>
    <col width="26" customWidth="1" style="94" min="2" max="2"/>
    <col width="9" customWidth="1" style="94" min="3" max="3"/>
    <col width="10" customWidth="1" style="94" min="4" max="4"/>
    <col width="10" customWidth="1" style="94" min="5" max="5"/>
    <col width="11" customWidth="1" style="94" min="6" max="6"/>
    <col width="10" customWidth="1" style="94" min="7" max="7"/>
    <col width="10" customWidth="1" style="94" min="8" max="8"/>
    <col width="11" customWidth="1" style="94" min="9" max="9"/>
    <col width="10" customWidth="1" style="94" min="10" max="10"/>
    <col width="10" customWidth="1" style="94" min="11" max="11"/>
    <col width="10" customWidth="1" style="94" min="12" max="12"/>
    <col width="10" customWidth="1" style="94" min="13" max="13"/>
    <col width="10" customWidth="1" style="94" min="14" max="14"/>
    <col width="10" customWidth="1" style="94" min="15" max="15"/>
    <col width="10" customWidth="1" style="94" min="16" max="16"/>
    <col width="10" customWidth="1" style="94" min="17" max="17"/>
    <col width="10" customWidth="1" style="94" min="18" max="18"/>
    <col width="60" customWidth="1" style="94" min="19" max="19"/>
  </cols>
  <sheetData>
    <row r="1">
      <c r="A1" s="140" t="str">
        <f>"Forward Trading Comparables for "&amp;Name</f>
        <v>Forward Trading Comparables for Forgent Power Solutions, Inc.</v>
      </c>
    </row>
    <row r="2">
      <c r="A2" s="141" t="inlineStr">
        <is>
          <t>(Dollars in Millions except share price; SU, LR in EUR and HPS.A in CAD - multiples are currency-neutral)</t>
        </is>
      </c>
    </row>
    <row r="3">
      <c r="B3" s="119" t="inlineStr">
        <is>
          <t>Adds consensus CY26E/CY27E revenue and EBITDA (MarketScreener), which 'Comps Analysis' lacks. Prices and balance sheets as of 9/25/2026 close (StockAnalysis).</t>
        </is>
      </c>
    </row>
    <row r="5" ht="45" customHeight="1" s="94">
      <c r="B5" s="142" t="inlineStr">
        <is>
          <t>Company</t>
        </is>
      </c>
      <c r="C5" s="143" t="inlineStr">
        <is>
          <t>Ticker</t>
        </is>
      </c>
      <c r="D5" s="143" t="inlineStr">
        <is>
          <t>Price</t>
        </is>
      </c>
      <c r="E5" s="143" t="inlineStr">
        <is>
          <t>Shares (MM)</t>
        </is>
      </c>
      <c r="F5" s="143" t="inlineStr">
        <is>
          <t>Mkt cap</t>
        </is>
      </c>
      <c r="G5" s="143" t="inlineStr">
        <is>
          <t>Total debt</t>
        </is>
      </c>
      <c r="H5" s="143" t="inlineStr">
        <is>
          <t>Cash</t>
        </is>
      </c>
      <c r="I5" s="143" t="inlineStr">
        <is>
          <t>Enterprise value</t>
        </is>
      </c>
      <c r="J5" s="143" t="inlineStr">
        <is>
          <t>CY26E revenue</t>
        </is>
      </c>
      <c r="K5" s="143" t="inlineStr">
        <is>
          <t>CY27E revenue</t>
        </is>
      </c>
      <c r="L5" s="143" t="inlineStr">
        <is>
          <t>CY26E EBITDA</t>
        </is>
      </c>
      <c r="M5" s="143" t="inlineStr">
        <is>
          <t>CY27E EBITDA</t>
        </is>
      </c>
      <c r="N5" s="143" t="inlineStr">
        <is>
          <t>EV / CY26E revenue</t>
        </is>
      </c>
      <c r="O5" s="143" t="inlineStr">
        <is>
          <t>EV / CY26E EBITDA</t>
        </is>
      </c>
      <c r="P5" s="143" t="inlineStr">
        <is>
          <t>EV / CY27E EBITDA</t>
        </is>
      </c>
      <c r="Q5" s="143" t="inlineStr">
        <is>
          <t>CY26-27E revenue growth</t>
        </is>
      </c>
      <c r="R5" s="143" t="inlineStr">
        <is>
          <t>CY26E EBITDA margin</t>
        </is>
      </c>
      <c r="S5" s="143" t="inlineStr">
        <is>
          <t>Notes</t>
        </is>
      </c>
    </row>
    <row r="6">
      <c r="B6" s="141" t="inlineStr">
        <is>
          <t>Vertiv</t>
        </is>
      </c>
      <c r="C6" s="141" t="inlineStr">
        <is>
          <t>VRT</t>
        </is>
      </c>
      <c r="D6" s="144" t="n">
        <v>253.28</v>
      </c>
      <c r="E6" s="145" t="n">
        <v>384.99</v>
      </c>
      <c r="F6" s="146">
        <f>D6*E6</f>
        <v>97510.2672</v>
      </c>
      <c r="G6" s="147" t="n">
        <v>3340</v>
      </c>
      <c r="H6" s="147" t="n">
        <v>3110</v>
      </c>
      <c r="I6" s="146">
        <f>F6+G6-H6</f>
        <v>97740.2672</v>
      </c>
      <c r="J6" s="147" t="n">
        <v>14019</v>
      </c>
      <c r="K6" s="147" t="n">
        <v>18239</v>
      </c>
      <c r="L6" s="147" t="n">
        <v>3488</v>
      </c>
      <c r="M6" s="147" t="n">
        <v>4817</v>
      </c>
      <c r="N6" s="148">
        <f>I6/J6</f>
        <v>6.971985676581782</v>
      </c>
      <c r="O6" s="148">
        <f>I6/L6</f>
        <v>28.021865596330276</v>
      </c>
      <c r="P6" s="148">
        <f>I6/M6</f>
        <v>20.290692796346274</v>
      </c>
      <c r="Q6" s="149">
        <f>K6/J6-1</f>
        <v>0.3010200442256936</v>
      </c>
      <c r="R6" s="149">
        <f>L6/J6</f>
        <v>0.2488051929524217</v>
      </c>
      <c r="S6" s="119" t="inlineStr">
        <is>
          <t>Market data: stockanalysis.com/stocks/vrt/statistics (25-Sep-2026). Consensus CY26E/CY27E revenue &amp; EBITDA: MarketScreener /finances/ (accessed 26-Sep-2026).</t>
        </is>
      </c>
    </row>
    <row r="7">
      <c r="B7" s="141" t="inlineStr">
        <is>
          <t>Eaton</t>
        </is>
      </c>
      <c r="C7" s="141" t="inlineStr">
        <is>
          <t>ETN</t>
        </is>
      </c>
      <c r="D7" s="144" t="n">
        <v>439.98</v>
      </c>
      <c r="E7" s="145" t="n">
        <v>388.4</v>
      </c>
      <c r="F7" s="146">
        <f>D7*E7</f>
        <v>170888.232</v>
      </c>
      <c r="G7" s="147" t="n">
        <v>21330</v>
      </c>
      <c r="H7" s="147" t="n">
        <v>695</v>
      </c>
      <c r="I7" s="146">
        <f>F7+G7-H7</f>
        <v>191523.232</v>
      </c>
      <c r="J7" s="147" t="n">
        <v>32683</v>
      </c>
      <c r="K7" s="147" t="n">
        <v>36626</v>
      </c>
      <c r="L7" s="147" t="n">
        <v>7754</v>
      </c>
      <c r="M7" s="147" t="n">
        <v>8991</v>
      </c>
      <c r="N7" s="148">
        <f>I7/J7</f>
        <v>5.860026068598353</v>
      </c>
      <c r="O7" s="148">
        <f>I7/L7</f>
        <v>24.69992674748517</v>
      </c>
      <c r="P7" s="148">
        <f>I7/M7</f>
        <v>21.301660771882993</v>
      </c>
      <c r="Q7" s="149">
        <f>K7/J7-1</f>
        <v>0.12064375975277675</v>
      </c>
      <c r="R7" s="149">
        <f>L7/J7</f>
        <v>0.23724872257748678</v>
      </c>
      <c r="S7" s="119" t="inlineStr">
        <is>
          <t>Market data: stockanalysis.com/stocks/etn/statistics (25-Sep-2026). Consensus CY26E/CY27E revenue &amp; EBITDA: MarketScreener /finances/ (accessed 26-Sep-2026).</t>
        </is>
      </c>
    </row>
    <row r="8">
      <c r="B8" s="141" t="inlineStr">
        <is>
          <t>GE Vernova</t>
        </is>
      </c>
      <c r="C8" s="141" t="inlineStr">
        <is>
          <t>GEV</t>
        </is>
      </c>
      <c r="D8" s="144" t="n">
        <v>957.63</v>
      </c>
      <c r="E8" s="145" t="n">
        <v>266.33</v>
      </c>
      <c r="F8" s="146">
        <f>D8*E8</f>
        <v>255045.5979</v>
      </c>
      <c r="G8" s="147" t="n">
        <v>3720</v>
      </c>
      <c r="H8" s="147" t="n">
        <v>12720</v>
      </c>
      <c r="I8" s="146">
        <f>F8+G8-H8</f>
        <v>246045.5979</v>
      </c>
      <c r="J8" s="147" t="n">
        <v>46282</v>
      </c>
      <c r="K8" s="147" t="n">
        <v>52740</v>
      </c>
      <c r="L8" s="147" t="n">
        <v>6359</v>
      </c>
      <c r="M8" s="147" t="n">
        <v>9574</v>
      </c>
      <c r="N8" s="148">
        <f>I8/J8</f>
        <v>5.316226565403396</v>
      </c>
      <c r="O8" s="148">
        <f>I8/L8</f>
        <v>38.69249849032867</v>
      </c>
      <c r="P8" s="148">
        <f>I8/M8</f>
        <v>25.699352193440568</v>
      </c>
      <c r="Q8" s="149">
        <f>K8/J8-1</f>
        <v>0.13953588868242517</v>
      </c>
      <c r="R8" s="149">
        <f>L8/J8</f>
        <v>0.1373968281405298</v>
      </c>
      <c r="S8" s="119" t="inlineStr">
        <is>
          <t>Market data: stockanalysis.com/stocks/gev/statistics (25-Sep-2026). Consensus CY26E/CY27E revenue &amp; EBITDA: MarketScreener /finances/ (accessed 26-Sep-2026). LTM EBITDA is GAAP and depressed.</t>
        </is>
      </c>
    </row>
    <row r="9">
      <c r="B9" s="141" t="inlineStr">
        <is>
          <t>Powell Industries (FYE Sep)</t>
        </is>
      </c>
      <c r="C9" s="141" t="inlineStr">
        <is>
          <t>POWL</t>
        </is>
      </c>
      <c r="D9" s="144" t="n">
        <v>189.53</v>
      </c>
      <c r="E9" s="145" t="n">
        <v>36.43</v>
      </c>
      <c r="F9" s="146">
        <f>D9*E9</f>
        <v>6904.5779</v>
      </c>
      <c r="G9" s="147" t="n">
        <v>2.5</v>
      </c>
      <c r="H9" s="147" t="n">
        <v>633.6</v>
      </c>
      <c r="I9" s="146">
        <f>F9+G9-H9</f>
        <v>6273.4779</v>
      </c>
      <c r="J9" s="147" t="n">
        <v>1191</v>
      </c>
      <c r="K9" s="147" t="n">
        <v>1483</v>
      </c>
      <c r="L9" s="147" t="n">
        <v>244.1</v>
      </c>
      <c r="M9" s="147" t="n">
        <v>315</v>
      </c>
      <c r="N9" s="148">
        <f>I9/J9</f>
        <v>5.267403778337531</v>
      </c>
      <c r="O9" s="148">
        <f>I9/L9</f>
        <v>25.70044203195412</v>
      </c>
      <c r="P9" s="148">
        <f>I9/M9</f>
        <v>19.915802857142857</v>
      </c>
      <c r="Q9" s="149">
        <f>K9/J9-1</f>
        <v>0.2451721242653233</v>
      </c>
      <c r="R9" s="149">
        <f>L9/J9</f>
        <v>0.20495382031905962</v>
      </c>
      <c r="S9" s="119" t="inlineStr">
        <is>
          <t>Market data: stockanalysis.com/stocks/powl/statistics (25-Sep-2026). Consensus CY26E/CY27E revenue &amp; EBITDA: MarketScreener /finances/ (accessed 26-Sep-2026). Fiscal years end September (not calendarized).</t>
        </is>
      </c>
    </row>
    <row r="10">
      <c r="B10" s="141" t="inlineStr">
        <is>
          <t>Hubbell</t>
        </is>
      </c>
      <c r="C10" s="141" t="inlineStr">
        <is>
          <t>HUBB</t>
        </is>
      </c>
      <c r="D10" s="144" t="n">
        <v>466.62</v>
      </c>
      <c r="E10" s="145" t="n">
        <v>52.83</v>
      </c>
      <c r="F10" s="146">
        <f>D10*E10</f>
        <v>24651.5346</v>
      </c>
      <c r="G10" s="147" t="n">
        <v>5560</v>
      </c>
      <c r="H10" s="147" t="n">
        <v>394.7</v>
      </c>
      <c r="I10" s="146">
        <f>F10+G10-H10</f>
        <v>29816.8346</v>
      </c>
      <c r="J10" s="147" t="n">
        <v>6871</v>
      </c>
      <c r="K10" s="147" t="n">
        <v>7572</v>
      </c>
      <c r="L10" s="147" t="n">
        <v>1688</v>
      </c>
      <c r="M10" s="147" t="n">
        <v>1923</v>
      </c>
      <c r="N10" s="148">
        <f>I10/J10</f>
        <v>4.339518934652888</v>
      </c>
      <c r="O10" s="148">
        <f>I10/L10</f>
        <v>17.66400154028436</v>
      </c>
      <c r="P10" s="148">
        <f>I10/M10</f>
        <v>15.505374206968279</v>
      </c>
      <c r="Q10" s="149">
        <f>K10/J10-1</f>
        <v>0.10202299519720559</v>
      </c>
      <c r="R10" s="149">
        <f>L10/J10</f>
        <v>0.24567020812108864</v>
      </c>
      <c r="S10" s="119" t="inlineStr">
        <is>
          <t>Market data: stockanalysis.com/stocks/hubb/statistics (25-Sep-2026). Consensus CY26E/CY27E revenue &amp; EBITDA: MarketScreener /finances/ (accessed 26-Sep-2026).</t>
        </is>
      </c>
    </row>
    <row r="11">
      <c r="B11" s="141" t="inlineStr">
        <is>
          <t>nVent Electric</t>
        </is>
      </c>
      <c r="C11" s="141" t="inlineStr">
        <is>
          <t>NVT</t>
        </is>
      </c>
      <c r="D11" s="144" t="n">
        <v>164.41</v>
      </c>
      <c r="E11" s="145" t="n">
        <v>161.86</v>
      </c>
      <c r="F11" s="146">
        <f>D11*E11</f>
        <v>26611.4026</v>
      </c>
      <c r="G11" s="147" t="n">
        <v>1630</v>
      </c>
      <c r="H11" s="147" t="n">
        <v>256</v>
      </c>
      <c r="I11" s="146">
        <f>F11+G11-H11</f>
        <v>27985.4026</v>
      </c>
      <c r="J11" s="147" t="n">
        <v>5460</v>
      </c>
      <c r="K11" s="147" t="n">
        <v>6421</v>
      </c>
      <c r="L11" s="147" t="n">
        <v>1217</v>
      </c>
      <c r="M11" s="147" t="n">
        <v>1443</v>
      </c>
      <c r="N11" s="148">
        <f>I11/J11</f>
        <v>5.125531611721612</v>
      </c>
      <c r="O11" s="148">
        <f>I11/L11</f>
        <v>22.99540065735415</v>
      </c>
      <c r="P11" s="148">
        <f>I11/M11</f>
        <v>19.393903395703397</v>
      </c>
      <c r="Q11" s="149">
        <f>K11/J11-1</f>
        <v>0.17600732600732605</v>
      </c>
      <c r="R11" s="149">
        <f>L11/J11</f>
        <v>0.2228937728937729</v>
      </c>
      <c r="S11" s="119" t="inlineStr">
        <is>
          <t>Market data: stockanalysis.com/stocks/nvt/statistics (25-Sep-2026). Consensus CY26E/CY27E revenue &amp; EBITDA: MarketScreener /finances/ (accessed 26-Sep-2026).</t>
        </is>
      </c>
    </row>
    <row r="12">
      <c r="B12" s="141" t="inlineStr">
        <is>
          <t>Schneider Electric (EUR)</t>
        </is>
      </c>
      <c r="C12" s="141" t="inlineStr">
        <is>
          <t>SU FP</t>
        </is>
      </c>
      <c r="D12" s="144" t="n">
        <v>291</v>
      </c>
      <c r="E12" s="145" t="n">
        <v>562.33</v>
      </c>
      <c r="F12" s="146">
        <f>D12*E12</f>
        <v>163638.03</v>
      </c>
      <c r="G12" s="147" t="n">
        <v>20810</v>
      </c>
      <c r="H12" s="147" t="n">
        <v>4520</v>
      </c>
      <c r="I12" s="146">
        <f>F12+G12-H12</f>
        <v>179928.03</v>
      </c>
      <c r="J12" s="147" t="n">
        <v>44918</v>
      </c>
      <c r="K12" s="147" t="n">
        <v>49022</v>
      </c>
      <c r="L12" s="147" t="n">
        <v>9719</v>
      </c>
      <c r="M12" s="147" t="n">
        <v>11171</v>
      </c>
      <c r="N12" s="148">
        <f>I12/J12</f>
        <v>4.005699942116746</v>
      </c>
      <c r="O12" s="148">
        <f>I12/L12</f>
        <v>18.513018829097643</v>
      </c>
      <c r="P12" s="148">
        <f>I12/M12</f>
        <v>16.106707546325307</v>
      </c>
      <c r="Q12" s="149">
        <f>K12/J12-1</f>
        <v>0.09136649004853292</v>
      </c>
      <c r="R12" s="149">
        <f>L12/J12</f>
        <v>0.21637205574602608</v>
      </c>
      <c r="S12" s="119" t="inlineStr">
        <is>
          <t>Market data: stockanalysis.com/quote/epa/SU/statistics (25-Sep-2026). Consensus CY26E/CY27E revenue &amp; EBITDA: MarketScreener /finances/ (accessed 26-Sep-2026).</t>
        </is>
      </c>
    </row>
    <row r="13">
      <c r="B13" s="141" t="inlineStr">
        <is>
          <t>Legrand (EUR)</t>
        </is>
      </c>
      <c r="C13" s="141" t="inlineStr">
        <is>
          <t>LR FP</t>
        </is>
      </c>
      <c r="D13" s="144" t="n">
        <v>134.85</v>
      </c>
      <c r="E13" s="145" t="n">
        <v>262.14</v>
      </c>
      <c r="F13" s="146">
        <f>D13*E13</f>
        <v>35349.579</v>
      </c>
      <c r="G13" s="147" t="n">
        <v>7720</v>
      </c>
      <c r="H13" s="147" t="n">
        <v>1970</v>
      </c>
      <c r="I13" s="146">
        <f>F13+G13-H13</f>
        <v>41099.579</v>
      </c>
      <c r="J13" s="147" t="n">
        <v>11031</v>
      </c>
      <c r="K13" s="147" t="n">
        <v>12193</v>
      </c>
      <c r="L13" s="147" t="n">
        <v>2622</v>
      </c>
      <c r="M13" s="147" t="n">
        <v>2939</v>
      </c>
      <c r="N13" s="148">
        <f>I13/J13</f>
        <v>3.7258253104886228</v>
      </c>
      <c r="O13" s="148">
        <f>I13/L13</f>
        <v>15.67489664378337</v>
      </c>
      <c r="P13" s="148">
        <f>I13/M13</f>
        <v>13.984205171827151</v>
      </c>
      <c r="Q13" s="149">
        <f>K13/J13-1</f>
        <v>0.10533949777898655</v>
      </c>
      <c r="R13" s="149">
        <f>L13/J13</f>
        <v>0.23769377209681805</v>
      </c>
      <c r="S13" s="119" t="inlineStr">
        <is>
          <t>Market data: stockanalysis.com/quote/epa/LR/statistics (25-Sep-2026). Consensus CY26E/CY27E revenue &amp; EBITDA: MarketScreener /finances/ (accessed 26-Sep-2026).</t>
        </is>
      </c>
    </row>
    <row r="14">
      <c r="B14" s="141" t="inlineStr">
        <is>
          <t>Hammond Power Solutions (CAD, pro forma AEG)</t>
        </is>
      </c>
      <c r="C14" s="141" t="inlineStr">
        <is>
          <t>HPS.A CN</t>
        </is>
      </c>
      <c r="D14" s="144" t="n">
        <v>279.22</v>
      </c>
      <c r="E14" s="145" t="n">
        <v>11.9</v>
      </c>
      <c r="F14" s="146">
        <f>D14*E14</f>
        <v>3322.7180000000003</v>
      </c>
      <c r="G14" s="147" t="n">
        <v>505</v>
      </c>
      <c r="H14" s="147" t="n">
        <v>33.63</v>
      </c>
      <c r="I14" s="146">
        <f>F14+G14-H14</f>
        <v>3794.088</v>
      </c>
      <c r="J14" s="147" t="n">
        <v>1409</v>
      </c>
      <c r="K14" s="147" t="n">
        <v>1708</v>
      </c>
      <c r="L14" s="147" t="n">
        <v>215.5</v>
      </c>
      <c r="M14" s="147" t="n">
        <v>263</v>
      </c>
      <c r="N14" s="148">
        <f>I14/J14</f>
        <v>2.692752306600426</v>
      </c>
      <c r="O14" s="148">
        <f>I14/L14</f>
        <v>17.605976798143853</v>
      </c>
      <c r="P14" s="148">
        <f>I14/M14</f>
        <v>14.426190114068442</v>
      </c>
      <c r="Q14" s="149">
        <f>K14/J14-1</f>
        <v>0.21220723917672113</v>
      </c>
      <c r="R14" s="149">
        <f>L14/J14</f>
        <v>0.15294535131298795</v>
      </c>
      <c r="S14" s="119" t="inlineStr">
        <is>
          <t>Market data: stockanalysis.com/quote/tsx/HPS.A/statistics (25-Sep-2026). Consensus CY26E/CY27E revenue &amp; EBITDA: MarketScreener /finances/ (accessed 26-Sep-2026). Debt = C$94.75mm reported + ~C$410mm (US$300mm term debt) drawn to fund AEG Power Solutions (closed 29-Jun-2026), pro forma. LTM EBITDA omitted: GAAP figure distorted by deal costs.</t>
        </is>
      </c>
    </row>
    <row r="16">
      <c r="B16" s="150" t="inlineStr">
        <is>
          <t>Max</t>
        </is>
      </c>
      <c r="N16" s="151">
        <f>MAX(N6:N14)</f>
        <v>6.971985676581782</v>
      </c>
      <c r="O16" s="151">
        <f>MAX(O6:O14)</f>
        <v>38.69249849032867</v>
      </c>
      <c r="P16" s="151">
        <f>MAX(P6:P14)</f>
        <v>25.699352193440568</v>
      </c>
      <c r="Q16" s="152">
        <f>MAX(Q6:Q14)</f>
        <v>0.3010200442256936</v>
      </c>
      <c r="R16" s="152">
        <f>MAX(R6:R14)</f>
        <v>0.2488051929524217</v>
      </c>
    </row>
    <row r="17">
      <c r="B17" s="150" t="inlineStr">
        <is>
          <t>75th percentile</t>
        </is>
      </c>
      <c r="N17" s="151">
        <f>QUARTILE(N6:N14,3)</f>
        <v>5.316226565403396</v>
      </c>
      <c r="O17" s="151">
        <f>QUARTILE(O6:O14,3)</f>
        <v>25.70044203195412</v>
      </c>
      <c r="P17" s="151">
        <f>QUARTILE(P6:P14,3)</f>
        <v>20.290692796346274</v>
      </c>
      <c r="Q17" s="152">
        <f>QUARTILE(Q6:Q14,3)</f>
        <v>0.21220723917672113</v>
      </c>
      <c r="R17" s="152">
        <f>QUARTILE(R6:R14,3)</f>
        <v>0.23769377209681805</v>
      </c>
    </row>
    <row r="18">
      <c r="B18" s="150" t="inlineStr">
        <is>
          <t>Median</t>
        </is>
      </c>
      <c r="N18" s="151">
        <f>MEDIAN(N6:N14)</f>
        <v>5.125531611721612</v>
      </c>
      <c r="O18" s="151">
        <f>MEDIAN(O6:O14)</f>
        <v>22.99540065735415</v>
      </c>
      <c r="P18" s="151">
        <f>MEDIAN(P6:P14)</f>
        <v>19.393903395703397</v>
      </c>
      <c r="Q18" s="152">
        <f>MEDIAN(Q6:Q14)</f>
        <v>0.13953588868242517</v>
      </c>
      <c r="R18" s="152">
        <f>MEDIAN(R6:R14)</f>
        <v>0.2228937728937729</v>
      </c>
    </row>
    <row r="19">
      <c r="B19" s="150" t="inlineStr">
        <is>
          <t>Mean</t>
        </is>
      </c>
      <c r="N19" s="151">
        <f>AVERAGE(N6:N14)</f>
        <v>4.811663354944596</v>
      </c>
      <c r="O19" s="151">
        <f>AVERAGE(O6:O14)</f>
        <v>23.285336370529066</v>
      </c>
      <c r="P19" s="151">
        <f>AVERAGE(P6:P14)</f>
        <v>18.513765450411697</v>
      </c>
      <c r="Q19" s="152">
        <f>AVERAGE(Q6:Q14)</f>
        <v>0.16592392945944345</v>
      </c>
      <c r="R19" s="152">
        <f>AVERAGE(R6:R14)</f>
        <v>0.2115533026844657</v>
      </c>
    </row>
    <row r="20">
      <c r="B20" s="150" t="inlineStr">
        <is>
          <t>25th percentile</t>
        </is>
      </c>
      <c r="N20" s="151">
        <f>QUARTILE(N6:N14,1)</f>
        <v>4.005699942116746</v>
      </c>
      <c r="O20" s="151">
        <f>QUARTILE(O6:O14,1)</f>
        <v>17.66400154028436</v>
      </c>
      <c r="P20" s="151">
        <f>QUARTILE(P6:P14,1)</f>
        <v>15.505374206968279</v>
      </c>
      <c r="Q20" s="152">
        <f>QUARTILE(Q6:Q14,1)</f>
        <v>0.10533949777898655</v>
      </c>
      <c r="R20" s="152">
        <f>QUARTILE(R6:R14,1)</f>
        <v>0.20495382031905962</v>
      </c>
    </row>
    <row r="21">
      <c r="B21" s="150" t="inlineStr">
        <is>
          <t>Min</t>
        </is>
      </c>
      <c r="N21" s="151">
        <f>MIN(N6:N14)</f>
        <v>2.692752306600426</v>
      </c>
      <c r="O21" s="151">
        <f>MIN(O6:O14)</f>
        <v>15.67489664378337</v>
      </c>
      <c r="P21" s="151">
        <f>MIN(P6:P14)</f>
        <v>13.984205171827151</v>
      </c>
      <c r="Q21" s="152">
        <f>MIN(Q6:Q14)</f>
        <v>0.09136649004853292</v>
      </c>
      <c r="R21" s="152">
        <f>MIN(R6:R14)</f>
        <v>0.1373968281405298</v>
      </c>
    </row>
    <row r="23">
      <c r="B23" s="150" t="str">
        <f>Name</f>
        <v>Forgent Power Solutions, Inc.</v>
      </c>
      <c r="C23" s="141" t="str">
        <f>Ticker</f>
        <v>FPS</v>
      </c>
      <c r="D23" s="153">
        <f>shareprice</f>
        <v>38.97</v>
      </c>
      <c r="E23" s="154">
        <f>DilutedShares</f>
        <v>305.12388</v>
      </c>
      <c r="F23" s="146">
        <f>marketcap</f>
        <v>11863.59380433</v>
      </c>
      <c r="G23" s="146">
        <f>totaldebt</f>
        <v>598.5</v>
      </c>
      <c r="H23" s="146">
        <f>cash</f>
        <v>97.477</v>
      </c>
      <c r="I23" s="146">
        <f>Enterprise</f>
        <v>12398.33480433</v>
      </c>
      <c r="J23" s="146">
        <f>0.5*Inc_Stmt!E12+0.5*Inc_Stmt!F12</f>
        <v>1960.6594999999998</v>
      </c>
      <c r="K23" s="146">
        <f>0.5*Inc_Stmt!F12+0.5*Inc_Stmt!G12</f>
        <v>2884.1092499999995</v>
      </c>
      <c r="L23" s="146">
        <f>0.5*Inc_Stmt!E43+0.5*Inc_Stmt!F43</f>
        <v>464.7445438499999</v>
      </c>
      <c r="M23" s="146">
        <f>0.5*Inc_Stmt!F43+0.5*Inc_Stmt!G43</f>
        <v>725.1950493024998</v>
      </c>
      <c r="N23" s="151">
        <f>I23/J23</f>
        <v>6.323553275992084</v>
      </c>
      <c r="O23" s="151">
        <f>I23/L23</f>
        <v>26.677741499923155</v>
      </c>
      <c r="P23" s="151">
        <f>I23/M23</f>
        <v>17.09655190869663</v>
      </c>
      <c r="Q23" s="149">
        <f>K23/J23-1</f>
        <v>0.470989353327286</v>
      </c>
      <c r="R23" s="149">
        <f>L23/J23</f>
        <v>0.23703480581406408</v>
      </c>
    </row>
    <row r="26">
      <c r="B26" s="150" t="str">
        <f>"Implied valuation of "&amp;Name</f>
        <v>Implied valuation of Forgent Power Solutions, Inc.</v>
      </c>
    </row>
    <row r="27">
      <c r="B27" s="142" t="inlineStr">
        <is>
          <t>Multiple</t>
        </is>
      </c>
      <c r="C27" s="143" t="inlineStr"/>
      <c r="D27" s="143" t="inlineStr">
        <is>
          <t>FPS metric</t>
        </is>
      </c>
      <c r="E27" s="143" t="inlineStr">
        <is>
          <t>25th pct</t>
        </is>
      </c>
      <c r="F27" s="143" t="inlineStr">
        <is>
          <t>Median</t>
        </is>
      </c>
      <c r="G27" s="143" t="inlineStr">
        <is>
          <t>75th pct</t>
        </is>
      </c>
      <c r="H27" s="143" t="inlineStr">
        <is>
          <t>Price @ 25th</t>
        </is>
      </c>
      <c r="I27" s="143" t="inlineStr">
        <is>
          <t>Price @ median</t>
        </is>
      </c>
      <c r="J27" s="143" t="inlineStr">
        <is>
          <t>Price @ 75th</t>
        </is>
      </c>
    </row>
    <row r="28">
      <c r="B28" s="141" t="inlineStr">
        <is>
          <t>EV / CY26E EBITDA</t>
        </is>
      </c>
      <c r="D28" s="146">
        <f>L23</f>
        <v>464.7445438499999</v>
      </c>
      <c r="E28" s="148">
        <f>O20</f>
        <v>17.66400154028436</v>
      </c>
      <c r="F28" s="148">
        <f>O18</f>
        <v>22.99540065735415</v>
      </c>
      <c r="G28" s="148">
        <f>O17</f>
        <v>25.70044203195412</v>
      </c>
      <c r="H28" s="155">
        <f>(E28*$D28-NetClaims)/DilutedShares</f>
        <v>25.152103265090727</v>
      </c>
      <c r="I28" s="155">
        <f>(F28*$D28-NetClaims)/DilutedShares</f>
        <v>33.272538318371026</v>
      </c>
      <c r="J28" s="155">
        <f>(G28*$D28-NetClaims)/DilutedShares</f>
        <v>37.39267870113569</v>
      </c>
    </row>
    <row r="29">
      <c r="B29" s="141" t="inlineStr">
        <is>
          <t>EV / CY27E EBITDA</t>
        </is>
      </c>
      <c r="D29" s="146">
        <f>M23</f>
        <v>725.1950493024998</v>
      </c>
      <c r="E29" s="148">
        <f>P20</f>
        <v>15.505374206968279</v>
      </c>
      <c r="F29" s="148">
        <f>P18</f>
        <v>19.393903395703397</v>
      </c>
      <c r="G29" s="148">
        <f>P17</f>
        <v>20.290692796346274</v>
      </c>
      <c r="H29" s="155">
        <f>(E29*$D29-NetClaims)/DilutedShares</f>
        <v>35.09944751776252</v>
      </c>
      <c r="I29" s="155">
        <f>(F29*$D29-NetClaims)/DilutedShares</f>
        <v>44.341405625856105</v>
      </c>
      <c r="J29" s="155">
        <f>(G29*$D29-NetClaims)/DilutedShares</f>
        <v>46.472825931645254</v>
      </c>
    </row>
    <row r="30">
      <c r="B30" s="141" t="inlineStr">
        <is>
          <t>EV / CY26E revenue</t>
        </is>
      </c>
      <c r="D30" s="146">
        <f>J23</f>
        <v>1960.6594999999998</v>
      </c>
      <c r="E30" s="148">
        <f>N20</f>
        <v>4.005699942116746</v>
      </c>
      <c r="F30" s="148">
        <f>N18</f>
        <v>5.125531611721612</v>
      </c>
      <c r="G30" s="148">
        <f>N17</f>
        <v>5.316226565403396</v>
      </c>
      <c r="H30" s="155">
        <f>(E30*$D30-NetClaims)/DilutedShares</f>
        <v>23.987216751637558</v>
      </c>
      <c r="I30" s="155">
        <f>(F30*$D30-NetClaims)/DilutedShares</f>
        <v>31.1830108055531</v>
      </c>
      <c r="J30" s="155">
        <f>(G30*$D30-NetClaims)/DilutedShares</f>
        <v>32.408374983991884</v>
      </c>
    </row>
    <row r="32">
      <c r="B32" s="119" t="inlineStr">
        <is>
          <t>EV-based prices subtract NetClaims (debt - cash + TRA - DTA - restricted cash), the same bridge as 'Comps Analysis'.</t>
        </is>
      </c>
    </row>
    <row r="33">
      <c r="B33" s="119" t="inlineStr">
        <is>
          <t>CY27E is the more relevant anchor: FPS guides +76% FY27 revenue growth vs. ~10-30% for peers, so CY26E multiples understate a growth-adjusted value.</t>
        </is>
      </c>
    </row>
    <row r="34">
      <c r="B34" s="119" t="inlineStr">
        <is>
          <t>LTM/consensus caveats: GE Vernova EBITDA depressed by Wind; Hammond is pro forma for AEG (closed 6/29/2026, ~C$410m acquisition debt added); Powell FY ends Sep (not calendarized). MarketScreener consensus date could not be confirmed; CY26 revenue matched StockAnalysis at 9/25/2026.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96" customWidth="1" style="94" min="1" max="1"/>
    <col width="10" customWidth="1" style="94" min="2" max="2"/>
    <col width="14" customWidth="1" style="94" min="3" max="3"/>
    <col width="24" customWidth="1" style="94" min="4" max="4"/>
    <col width="40" customWidth="1" style="94" min="5" max="5"/>
    <col width="10" customWidth="1" style="94" min="6" max="6"/>
    <col width="10" customWidth="1" style="94" min="7" max="7"/>
    <col width="10" customWidth="1" style="94" min="8" max="8"/>
    <col width="9" customWidth="1" style="94" min="9" max="9"/>
    <col width="9" customWidth="1" style="94" min="10" max="10"/>
    <col width="42" customWidth="1" style="94" min="11" max="11"/>
    <col width="7" customWidth="1" style="94" min="12" max="12"/>
    <col width="9" customWidth="1" style="94" min="13" max="13"/>
    <col width="9" customWidth="1" style="94" min="14" max="14"/>
    <col width="40" customWidth="1" style="94" min="15" max="15"/>
  </cols>
  <sheetData>
    <row r="1">
      <c r="A1" s="140" t="str">
        <f>"Precedent Transactions for "&amp;Name</f>
        <v>Precedent Transactions for Forgent Power Solutions, Inc.</v>
      </c>
    </row>
    <row r="2">
      <c r="A2" s="141" t="inlineStr">
        <is>
          <t>(Dollars in Millions; multiples on the basis each acquirer disclosed - see Basis column)</t>
        </is>
      </c>
    </row>
    <row r="3">
      <c r="B3" s="119" t="inlineStr">
        <is>
          <t>Includes a control premium, so values are not directly comparable to a minority trading price. 'In stats' = 1 for electrical distribution / modular power / grid equipment; adjacent deals shown for context only.</t>
        </is>
      </c>
    </row>
    <row r="5" ht="32" customHeight="1" s="94">
      <c r="B5" s="142" t="inlineStr">
        <is>
          <t>Announced</t>
        </is>
      </c>
      <c r="C5" s="143" t="inlineStr">
        <is>
          <t>Acquirer</t>
        </is>
      </c>
      <c r="D5" s="143" t="inlineStr">
        <is>
          <t>Target</t>
        </is>
      </c>
      <c r="E5" s="143" t="inlineStr">
        <is>
          <t>Description</t>
        </is>
      </c>
      <c r="F5" s="143" t="inlineStr">
        <is>
          <t>Enterprise value</t>
        </is>
      </c>
      <c r="G5" s="143" t="inlineStr">
        <is>
          <t>Target revenue</t>
        </is>
      </c>
      <c r="H5" s="143" t="inlineStr">
        <is>
          <t>Target EBITDA</t>
        </is>
      </c>
      <c r="I5" s="143" t="inlineStr">
        <is>
          <t>EV / revenue</t>
        </is>
      </c>
      <c r="J5" s="143" t="inlineStr">
        <is>
          <t>EV / EBITDA</t>
        </is>
      </c>
      <c r="K5" s="143" t="inlineStr">
        <is>
          <t>Basis</t>
        </is>
      </c>
      <c r="L5" s="143" t="inlineStr">
        <is>
          <t>In stats</t>
        </is>
      </c>
      <c r="M5" s="143" t="inlineStr">
        <is>
          <t>EV/rev (stats)</t>
        </is>
      </c>
      <c r="N5" s="143" t="inlineStr">
        <is>
          <t>EV/EBITDA (stats)</t>
        </is>
      </c>
      <c r="O5" s="143" t="inlineStr">
        <is>
          <t>Source</t>
        </is>
      </c>
    </row>
    <row r="6">
      <c r="B6" s="141" t="inlineStr">
        <is>
          <t>Sep-2026</t>
        </is>
      </c>
      <c r="C6" s="156" t="inlineStr">
        <is>
          <t>Flex</t>
        </is>
      </c>
      <c r="D6" s="156" t="inlineStr">
        <is>
          <t>EPC Power</t>
        </is>
      </c>
      <c r="E6" s="156" t="inlineStr">
        <is>
          <t>Power conversion (rectifiers, DC-DC, SSTs) for data centers and grid</t>
        </is>
      </c>
      <c r="F6" s="147" t="n">
        <v>4400</v>
      </c>
      <c r="G6" s="147" t="n">
        <v>800</v>
      </c>
      <c r="H6" s="147" t="n">
        <v>336</v>
      </c>
      <c r="I6" s="148">
        <f>IF(ISNUMBER(G6),F6/G6,"N/A")</f>
        <v>5.5</v>
      </c>
      <c r="J6" s="148">
        <f>IF(ISNUMBER(H6),F6/H6,"N/A")</f>
        <v>13.095238095238095</v>
      </c>
      <c r="K6" s="157" t="inlineStr">
        <is>
          <t>Rev 2026E; EBITDA 2027E derived (~40% growth, ~30% margin)</t>
        </is>
      </c>
      <c r="L6" s="158" t="n">
        <v>1</v>
      </c>
      <c r="M6" s="148">
        <f>IF(AND(L6=1,ISNUMBER(I6)),I6,"")</f>
        <v>5.5</v>
      </c>
      <c r="N6" s="148">
        <f>IF(AND(L6=1,ISNUMBER(J6)),J6,"")</f>
        <v>13.095238095238095</v>
      </c>
      <c r="O6" s="157" t="inlineStr">
        <is>
          <t>investors.flex.com release 3-Sep-2026; mgrid.org 3-Sep-2026</t>
        </is>
      </c>
    </row>
    <row r="7">
      <c r="B7" s="141" t="inlineStr">
        <is>
          <t>Sep-2026</t>
        </is>
      </c>
      <c r="C7" s="156" t="inlineStr">
        <is>
          <t>Vertiv</t>
        </is>
      </c>
      <c r="D7" s="156" t="inlineStr">
        <is>
          <t>UtilityInnovation Group</t>
        </is>
      </c>
      <c r="E7" s="156" t="inlineStr">
        <is>
          <t>Microgrid switchgear and power controls for data centers</t>
        </is>
      </c>
      <c r="F7" s="147" t="n">
        <v>1450</v>
      </c>
      <c r="G7" s="159" t="inlineStr">
        <is>
          <t>N/A</t>
        </is>
      </c>
      <c r="H7" s="147" t="n">
        <v>112</v>
      </c>
      <c r="I7" s="148" t="str">
        <f>IF(ISNUMBER(G7),F7/G7,"N/A")</f>
        <v>N/A</v>
      </c>
      <c r="J7" s="148">
        <f>IF(ISNUMBER(H7),F7/H7,"N/A")</f>
        <v>12.946428571428571</v>
      </c>
      <c r="K7" s="157" t="inlineStr">
        <is>
          <t>2027E EBITDA; ~13x stated; excludes up to $1.15bn earnout</t>
        </is>
      </c>
      <c r="L7" s="158" t="n">
        <v>1</v>
      </c>
      <c r="M7" s="148" t="str">
        <f>IF(AND(L7=1,ISNUMBER(I7)),I7,"")</f>
        <v/>
      </c>
      <c r="N7" s="148">
        <f>IF(AND(L7=1,ISNUMBER(J7)),J7,"")</f>
        <v>12.946428571428571</v>
      </c>
      <c r="O7" s="157" t="inlineStr">
        <is>
          <t>Vertiv 8-K ex-99.1, SEC 0001193125-26-379306</t>
        </is>
      </c>
    </row>
    <row r="8">
      <c r="B8" s="141" t="inlineStr">
        <is>
          <t>Mar-2026</t>
        </is>
      </c>
      <c r="C8" s="156" t="inlineStr">
        <is>
          <t>Flex</t>
        </is>
      </c>
      <c r="D8" s="156" t="inlineStr">
        <is>
          <t>Electrical Power Products (EP2)</t>
        </is>
      </c>
      <c r="E8" s="156" t="inlineStr">
        <is>
          <t>Engineered control/relay panels, modular control buildings</t>
        </is>
      </c>
      <c r="F8" s="147" t="n">
        <v>1100</v>
      </c>
      <c r="G8" s="147" t="n">
        <v>323</v>
      </c>
      <c r="H8" s="159" t="inlineStr">
        <is>
          <t>N/A</t>
        </is>
      </c>
      <c r="I8" s="148">
        <f>IF(ISNUMBER(G8),F8/G8,"N/A")</f>
        <v>3.4055727554179565</v>
      </c>
      <c r="J8" s="148" t="str">
        <f>IF(ISNUMBER(H8),F8/H8,"N/A")</f>
        <v>N/A</v>
      </c>
      <c r="K8" s="157" t="inlineStr">
        <is>
          <t>Rev FY Mar-26; EBITDA not disclosed; ~$100mm tax benefit</t>
        </is>
      </c>
      <c r="L8" s="158" t="n">
        <v>1</v>
      </c>
      <c r="M8" s="148">
        <f>IF(AND(L8=1,ISNUMBER(I8)),I8,"")</f>
        <v>3.4055727554179565</v>
      </c>
      <c r="N8" s="148" t="str">
        <f>IF(AND(L8=1,ISNUMBER(J8)),J8,"")</f>
        <v/>
      </c>
      <c r="O8" s="157" t="inlineStr">
        <is>
          <t>prnewswire, Flex to acquire EP2, 30-Mar-2026</t>
        </is>
      </c>
    </row>
    <row r="9">
      <c r="B9" s="141" t="inlineStr">
        <is>
          <t>Oct-2025</t>
        </is>
      </c>
      <c r="C9" s="156" t="inlineStr">
        <is>
          <t>GE Vernova</t>
        </is>
      </c>
      <c r="D9" s="156" t="inlineStr">
        <is>
          <t>Prolec GE (remaining 50%)</t>
        </is>
      </c>
      <c r="E9" s="156" t="inlineStr">
        <is>
          <t>Power, distribution and specialty transformers (North America)</t>
        </is>
      </c>
      <c r="F9" s="147" t="n">
        <v>10550</v>
      </c>
      <c r="G9" s="147" t="n">
        <v>3000</v>
      </c>
      <c r="H9" s="147" t="n">
        <v>750</v>
      </c>
      <c r="I9" s="148">
        <f>IF(ISNUMBER(G9),F9/G9,"N/A")</f>
        <v>3.5166666666666666</v>
      </c>
      <c r="J9" s="148">
        <f>IF(ISNUMBER(H9),F9/H9,"N/A")</f>
        <v>14.066666666666666</v>
      </c>
      <c r="K9" s="157" t="inlineStr">
        <is>
          <t>2025E; 50% stake price ($5.275bn) scaled to 100%; EBITDA derived at ~25% margin</t>
        </is>
      </c>
      <c r="L9" s="158" t="n">
        <v>1</v>
      </c>
      <c r="M9" s="148">
        <f>IF(AND(L9=1,ISNUMBER(I9)),I9,"")</f>
        <v>3.5166666666666666</v>
      </c>
      <c r="N9" s="148">
        <f>IF(AND(L9=1,ISNUMBER(J9)),J9,"")</f>
        <v>14.066666666666666</v>
      </c>
      <c r="O9" s="157" t="inlineStr">
        <is>
          <t>gevernova.com press release 21-Oct-2025</t>
        </is>
      </c>
    </row>
    <row r="10">
      <c r="B10" s="141" t="inlineStr">
        <is>
          <t>Aug-2025</t>
        </is>
      </c>
      <c r="C10" s="156" t="inlineStr">
        <is>
          <t>Hubbell</t>
        </is>
      </c>
      <c r="D10" s="156" t="inlineStr">
        <is>
          <t>DMC Power</t>
        </is>
      </c>
      <c r="E10" s="156" t="inlineStr">
        <is>
          <t>Substation and transmission connector systems</t>
        </is>
      </c>
      <c r="F10" s="147" t="n">
        <v>825</v>
      </c>
      <c r="G10" s="147" t="n">
        <v>130</v>
      </c>
      <c r="H10" s="147" t="n">
        <v>60</v>
      </c>
      <c r="I10" s="148">
        <f>IF(ISNUMBER(G10),F10/G10,"N/A")</f>
        <v>6.346153846153846</v>
      </c>
      <c r="J10" s="148">
        <f>IF(ISNUMBER(H10),F10/H10,"N/A")</f>
        <v>13.75</v>
      </c>
      <c r="K10" s="157" t="inlineStr">
        <is>
          <t>2026E</t>
        </is>
      </c>
      <c r="L10" s="158" t="n">
        <v>1</v>
      </c>
      <c r="M10" s="148">
        <f>IF(AND(L10=1,ISNUMBER(I10)),I10,"")</f>
        <v>6.346153846153846</v>
      </c>
      <c r="N10" s="148">
        <f>IF(AND(L10=1,ISNUMBER(J10)),J10,"")</f>
        <v>13.75</v>
      </c>
      <c r="O10" s="157" t="inlineStr">
        <is>
          <t>Hubbell 8-K ex-99.1, SEC 0001193125-25-180835</t>
        </is>
      </c>
    </row>
    <row r="11">
      <c r="B11" s="141" t="inlineStr">
        <is>
          <t>Mar-2025</t>
        </is>
      </c>
      <c r="C11" s="156" t="inlineStr">
        <is>
          <t>Eaton</t>
        </is>
      </c>
      <c r="D11" s="156" t="inlineStr">
        <is>
          <t>Fibrebond</t>
        </is>
      </c>
      <c r="E11" s="156" t="inlineStr">
        <is>
          <t>Pre-integrated modular power enclosures / skids (data centers, utilities)</t>
        </is>
      </c>
      <c r="F11" s="147" t="n">
        <v>1400</v>
      </c>
      <c r="G11" s="147" t="n">
        <v>378</v>
      </c>
      <c r="H11" s="147" t="n">
        <v>110</v>
      </c>
      <c r="I11" s="148">
        <f>IF(ISNUMBER(G11),F11/G11,"N/A")</f>
        <v>3.7037037037037037</v>
      </c>
      <c r="J11" s="148">
        <f>IF(ISNUMBER(H11),F11/H11,"N/A")</f>
        <v>12.727272727272727</v>
      </c>
      <c r="K11" s="157" t="inlineStr">
        <is>
          <t>Rev TTM Feb-25; EBITDA 2025E; excl. $240mm assumed retention awards</t>
        </is>
      </c>
      <c r="L11" s="158" t="n">
        <v>1</v>
      </c>
      <c r="M11" s="148">
        <f>IF(AND(L11=1,ISNUMBER(I11)),I11,"")</f>
        <v>3.7037037037037037</v>
      </c>
      <c r="N11" s="148">
        <f>IF(AND(L11=1,ISNUMBER(J11)),J11,"")</f>
        <v>12.727272727272727</v>
      </c>
      <c r="O11" s="157" t="inlineStr">
        <is>
          <t>Eaton release; Eaton 10-Q Q2-2025</t>
        </is>
      </c>
    </row>
    <row r="12">
      <c r="B12" s="141" t="inlineStr">
        <is>
          <t>Mar-2025</t>
        </is>
      </c>
      <c r="C12" s="156" t="inlineStr">
        <is>
          <t>nVent</t>
        </is>
      </c>
      <c r="D12" s="156" t="inlineStr">
        <is>
          <t>Avail Electrical Products Group</t>
        </is>
      </c>
      <c r="E12" s="156" t="inlineStr">
        <is>
          <t>Enclosures, switchgear and bus systems for utilities and data centers</t>
        </is>
      </c>
      <c r="F12" s="147" t="n">
        <v>975</v>
      </c>
      <c r="G12" s="147" t="n">
        <v>375</v>
      </c>
      <c r="H12" s="147" t="n">
        <v>78</v>
      </c>
      <c r="I12" s="148">
        <f>IF(ISNUMBER(G12),F12/G12,"N/A")</f>
        <v>2.6</v>
      </c>
      <c r="J12" s="160" t="n">
        <v>12.5</v>
      </c>
      <c r="K12" s="157" t="inlineStr">
        <is>
          <t>TTM; 12.5x stated</t>
        </is>
      </c>
      <c r="L12" s="158" t="n">
        <v>1</v>
      </c>
      <c r="M12" s="148">
        <f>IF(AND(L12=1,ISNUMBER(I12)),I12,"")</f>
        <v>2.6</v>
      </c>
      <c r="N12" s="148">
        <f>IF(AND(L12=1,ISNUMBER(J12)),J12,"")</f>
        <v>12.5</v>
      </c>
      <c r="O12" s="157" t="inlineStr">
        <is>
          <t>nVent release 10-Mar-2025; switchgear-magazine.com</t>
        </is>
      </c>
    </row>
    <row r="13">
      <c r="B13" s="141" t="inlineStr">
        <is>
          <t>Jun-2024</t>
        </is>
      </c>
      <c r="C13" s="156" t="inlineStr">
        <is>
          <t>nVent</t>
        </is>
      </c>
      <c r="D13" s="156" t="inlineStr">
        <is>
          <t>Trachte</t>
        </is>
      </c>
      <c r="E13" s="156" t="inlineStr">
        <is>
          <t>Custom-engineered control buildings (utility, data center)</t>
        </is>
      </c>
      <c r="F13" s="147" t="n">
        <v>695</v>
      </c>
      <c r="G13" s="147" t="n">
        <v>250</v>
      </c>
      <c r="H13" s="147" t="n">
        <v>58</v>
      </c>
      <c r="I13" s="148">
        <f>IF(ISNUMBER(G13),F13/G13,"N/A")</f>
        <v>2.78</v>
      </c>
      <c r="J13" s="160" t="n">
        <v>12</v>
      </c>
      <c r="K13" s="157" t="inlineStr">
        <is>
          <t>2024E; ~12x 'effective' stated</t>
        </is>
      </c>
      <c r="L13" s="158" t="n">
        <v>1</v>
      </c>
      <c r="M13" s="148">
        <f>IF(AND(L13=1,ISNUMBER(I13)),I13,"")</f>
        <v>2.78</v>
      </c>
      <c r="N13" s="148">
        <f>IF(AND(L13=1,ISNUMBER(J13)),J13,"")</f>
        <v>12.0</v>
      </c>
      <c r="O13" s="157" t="inlineStr">
        <is>
          <t>nVent release 6-Jun-2024</t>
        </is>
      </c>
    </row>
    <row r="14">
      <c r="B14" s="141" t="inlineStr">
        <is>
          <t>Oct-2023</t>
        </is>
      </c>
      <c r="C14" s="156" t="inlineStr">
        <is>
          <t>Hubbell</t>
        </is>
      </c>
      <c r="D14" s="156" t="inlineStr">
        <is>
          <t>Systems Control</t>
        </is>
      </c>
      <c r="E14" s="156" t="inlineStr">
        <is>
          <t>Substation control and relay panels, control buildings</t>
        </is>
      </c>
      <c r="F14" s="147" t="n">
        <v>1100</v>
      </c>
      <c r="G14" s="147" t="n">
        <v>400</v>
      </c>
      <c r="H14" s="147" t="n">
        <v>91.59999999999999</v>
      </c>
      <c r="I14" s="148">
        <f>IF(ISNUMBER(G14),F14/G14,"N/A")</f>
        <v>2.75</v>
      </c>
      <c r="J14" s="148">
        <f>IF(ISNUMBER(H14),F14/H14,"N/A")</f>
        <v>12.00873362445415</v>
      </c>
      <c r="K14" s="157" t="inlineStr">
        <is>
          <t>2024E; ~12x stated</t>
        </is>
      </c>
      <c r="L14" s="158" t="n">
        <v>1</v>
      </c>
      <c r="M14" s="148">
        <f>IF(AND(L14=1,ISNUMBER(I14)),I14,"")</f>
        <v>2.75</v>
      </c>
      <c r="N14" s="148">
        <f>IF(AND(L14=1,ISNUMBER(J14)),J14,"")</f>
        <v>12.00873362445415</v>
      </c>
      <c r="O14" s="157" t="inlineStr">
        <is>
          <t>Hubbell 8-K ex-99.1, SEC 0001193125-23-266285</t>
        </is>
      </c>
    </row>
    <row r="15">
      <c r="B15" s="141" t="inlineStr">
        <is>
          <t>Apr-2023</t>
        </is>
      </c>
      <c r="C15" s="156" t="inlineStr">
        <is>
          <t>nVent</t>
        </is>
      </c>
      <c r="D15" s="156" t="inlineStr">
        <is>
          <t>ECM Industries</t>
        </is>
      </c>
      <c r="E15" s="156" t="inlineStr">
        <is>
          <t>Electrical connectors, tools and consumables</t>
        </is>
      </c>
      <c r="F15" s="147" t="n">
        <v>1100</v>
      </c>
      <c r="G15" s="147" t="n">
        <v>415</v>
      </c>
      <c r="H15" s="147" t="n">
        <v>104</v>
      </c>
      <c r="I15" s="148">
        <f>IF(ISNUMBER(G15),F15/G15,"N/A")</f>
        <v>2.6506024096385543</v>
      </c>
      <c r="J15" s="160" t="n">
        <v>10.6</v>
      </c>
      <c r="K15" s="157" t="inlineStr">
        <is>
          <t>TTM adj.; ~10.6x 'effective' stated</t>
        </is>
      </c>
      <c r="L15" s="158" t="n">
        <v>1</v>
      </c>
      <c r="M15" s="148">
        <f>IF(AND(L15=1,ISNUMBER(I15)),I15,"")</f>
        <v>2.6506024096385543</v>
      </c>
      <c r="N15" s="148">
        <f>IF(AND(L15=1,ISNUMBER(J15)),J15,"")</f>
        <v>10.6</v>
      </c>
      <c r="O15" s="157" t="inlineStr">
        <is>
          <t>nVent release 3-Apr-2023</t>
        </is>
      </c>
    </row>
    <row r="16">
      <c r="B16" s="141" t="inlineStr">
        <is>
          <t>Sep-2021</t>
        </is>
      </c>
      <c r="C16" s="156" t="inlineStr">
        <is>
          <t>Vertiv</t>
        </is>
      </c>
      <c r="D16" s="156" t="inlineStr">
        <is>
          <t>E&amp;I Engineering / Powerbar Gulf</t>
        </is>
      </c>
      <c r="E16" s="156" t="inlineStr">
        <is>
          <t>Switchgear, busway, integrated modular power for data centers</t>
        </is>
      </c>
      <c r="F16" s="147" t="n">
        <v>1800</v>
      </c>
      <c r="G16" s="147" t="n">
        <v>460</v>
      </c>
      <c r="H16" s="147" t="n">
        <v>150</v>
      </c>
      <c r="I16" s="148">
        <f>IF(ISNUMBER(G16),F16/G16,"N/A")</f>
        <v>3.9130434782608696</v>
      </c>
      <c r="J16" s="148">
        <f>IF(ISNUMBER(H16),F16/H16,"N/A")</f>
        <v>12.0</v>
      </c>
      <c r="K16" s="157" t="inlineStr">
        <is>
          <t>Rev 2021E; EBITDA 2022E pre-synergy; excl. up to $200mm earnout</t>
        </is>
      </c>
      <c r="L16" s="158" t="n">
        <v>1</v>
      </c>
      <c r="M16" s="148">
        <f>IF(AND(L16=1,ISNUMBER(I16)),I16,"")</f>
        <v>3.9130434782608696</v>
      </c>
      <c r="N16" s="148">
        <f>IF(AND(L16=1,ISNUMBER(J16)),J16,"")</f>
        <v>12.0</v>
      </c>
      <c r="O16" s="157" t="inlineStr">
        <is>
          <t>Vertiv 8-K ex-99.1, SEC 0001193125-21-267213</t>
        </is>
      </c>
    </row>
    <row r="17">
      <c r="B17" s="141" t="inlineStr">
        <is>
          <t>Nov-2025</t>
        </is>
      </c>
      <c r="C17" s="156" t="inlineStr">
        <is>
          <t>Eaton</t>
        </is>
      </c>
      <c r="D17" s="156" t="inlineStr">
        <is>
          <t>Boyd Thermal</t>
        </is>
      </c>
      <c r="E17" s="156" t="inlineStr">
        <is>
          <t>Liquid cooling for AI data centers (thermal, not power)</t>
        </is>
      </c>
      <c r="F17" s="147" t="n">
        <v>9500</v>
      </c>
      <c r="G17" s="147" t="n">
        <v>1700</v>
      </c>
      <c r="H17" s="147" t="n">
        <v>422</v>
      </c>
      <c r="I17" s="148">
        <f>IF(ISNUMBER(G17),F17/G17,"N/A")</f>
        <v>5.588235294117647</v>
      </c>
      <c r="J17" s="160" t="n">
        <v>22.5</v>
      </c>
      <c r="K17" s="157" t="inlineStr">
        <is>
          <t>2026E adj.; 22.5x stated. Excluded: thermal</t>
        </is>
      </c>
      <c r="L17" s="158" t="n">
        <v>0</v>
      </c>
      <c r="M17" s="148" t="str">
        <f>IF(AND(L17=1,ISNUMBER(I17)),I17,"")</f>
        <v/>
      </c>
      <c r="N17" s="148" t="str">
        <f>IF(AND(L17=1,ISNUMBER(J17)),J17,"")</f>
        <v/>
      </c>
      <c r="O17" s="157" t="inlineStr">
        <is>
          <t>Eaton release 3-Nov-2025</t>
        </is>
      </c>
    </row>
    <row r="18">
      <c r="B18" s="141" t="inlineStr">
        <is>
          <t>Nov-2025</t>
        </is>
      </c>
      <c r="C18" s="156" t="inlineStr">
        <is>
          <t>Vertiv</t>
        </is>
      </c>
      <c r="D18" s="156" t="inlineStr">
        <is>
          <t>PurgeRite</t>
        </is>
      </c>
      <c r="E18" s="156" t="inlineStr">
        <is>
          <t>Fluid-management services for liquid cooling</t>
        </is>
      </c>
      <c r="F18" s="147" t="n">
        <v>1000</v>
      </c>
      <c r="G18" s="159" t="inlineStr">
        <is>
          <t>N/A</t>
        </is>
      </c>
      <c r="H18" s="159" t="inlineStr">
        <is>
          <t>N/A</t>
        </is>
      </c>
      <c r="I18" s="148" t="str">
        <f>IF(ISNUMBER(G18),F18/G18,"N/A")</f>
        <v>N/A</v>
      </c>
      <c r="J18" s="160" t="n">
        <v>10</v>
      </c>
      <c r="K18" s="157" t="inlineStr">
        <is>
          <t>2026E post-synergy, stated. Excluded: services/thermal</t>
        </is>
      </c>
      <c r="L18" s="158" t="n">
        <v>0</v>
      </c>
      <c r="M18" s="148" t="str">
        <f>IF(AND(L18=1,ISNUMBER(I18)),I18,"")</f>
        <v/>
      </c>
      <c r="N18" s="148" t="str">
        <f>IF(AND(L18=1,ISNUMBER(J18)),J18,"")</f>
        <v/>
      </c>
      <c r="O18" s="157" t="inlineStr">
        <is>
          <t>Vertiv 8-K ex-99.1, SEC 0001193125-25-261623</t>
        </is>
      </c>
    </row>
    <row r="19">
      <c r="B19" s="141" t="inlineStr">
        <is>
          <t>Jul-2024</t>
        </is>
      </c>
      <c r="C19" s="156" t="inlineStr">
        <is>
          <t>Quanta Services</t>
        </is>
      </c>
      <c r="D19" s="156" t="inlineStr">
        <is>
          <t>Cupertino Electric</t>
        </is>
      </c>
      <c r="E19" s="156" t="inlineStr">
        <is>
          <t>Electrical contractor for data centers (not a manufacturer)</t>
        </is>
      </c>
      <c r="F19" s="147" t="n">
        <v>1540</v>
      </c>
      <c r="G19" s="147" t="n">
        <v>2150</v>
      </c>
      <c r="H19" s="147" t="n">
        <v>165</v>
      </c>
      <c r="I19" s="148">
        <f>IF(ISNUMBER(G19),F19/G19,"N/A")</f>
        <v>0.7162790697674418</v>
      </c>
      <c r="J19" s="148">
        <f>IF(ISNUMBER(H19),F19/H19,"N/A")</f>
        <v>9.333333333333334</v>
      </c>
      <c r="K19" s="157" t="inlineStr">
        <is>
          <t>2024E adj. midpoints. Excluded: contractor</t>
        </is>
      </c>
      <c r="L19" s="158" t="n">
        <v>0</v>
      </c>
      <c r="M19" s="148" t="str">
        <f>IF(AND(L19=1,ISNUMBER(I19)),I19,"")</f>
        <v/>
      </c>
      <c r="N19" s="148" t="str">
        <f>IF(AND(L19=1,ISNUMBER(J19)),J19,"")</f>
        <v/>
      </c>
      <c r="O19" s="157" t="inlineStr">
        <is>
          <t>Quanta release 18-Jul-2024</t>
        </is>
      </c>
    </row>
    <row r="20">
      <c r="B20" s="141" t="inlineStr">
        <is>
          <t>Apr-2024</t>
        </is>
      </c>
      <c r="C20" s="156" t="inlineStr">
        <is>
          <t>Prysmian</t>
        </is>
      </c>
      <c r="D20" s="156" t="inlineStr">
        <is>
          <t>Encore Wire</t>
        </is>
      </c>
      <c r="E20" s="156" t="inlineStr">
        <is>
          <t>US building wire and cable</t>
        </is>
      </c>
      <c r="F20" s="147" t="n">
        <v>4160</v>
      </c>
      <c r="G20" s="159" t="inlineStr">
        <is>
          <t>N/A</t>
        </is>
      </c>
      <c r="H20" s="159" t="inlineStr">
        <is>
          <t>N/A</t>
        </is>
      </c>
      <c r="I20" s="148" t="str">
        <f>IF(ISNUMBER(G20),F20/G20,"N/A")</f>
        <v>N/A</v>
      </c>
      <c r="J20" s="160" t="n">
        <v>8.199999999999999</v>
      </c>
      <c r="K20" s="157" t="inlineStr">
        <is>
          <t>2023A, 8.2x stated (6.3x post-synergy). Excluded: commodity cable</t>
        </is>
      </c>
      <c r="L20" s="158" t="n">
        <v>0</v>
      </c>
      <c r="M20" s="148" t="str">
        <f>IF(AND(L20=1,ISNUMBER(I20)),I20,"")</f>
        <v/>
      </c>
      <c r="N20" s="148" t="str">
        <f>IF(AND(L20=1,ISNUMBER(J20)),J20,"")</f>
        <v/>
      </c>
      <c r="O20" s="157" t="inlineStr">
        <is>
          <t>prysmian.com release 15-Apr-2024</t>
        </is>
      </c>
    </row>
    <row r="22">
      <c r="D22" s="150" t="inlineStr">
        <is>
          <t>Max</t>
        </is>
      </c>
      <c r="I22" s="151">
        <f>MAX(M6:M20)</f>
        <v>6.346153846153846</v>
      </c>
      <c r="J22" s="151">
        <f>MAX(N6:N20)</f>
        <v>14.066666666666666</v>
      </c>
    </row>
    <row r="23">
      <c r="D23" s="150" t="inlineStr">
        <is>
          <t>75th percentile</t>
        </is>
      </c>
      <c r="I23" s="151">
        <f>QUARTILE(M6:M20,3)</f>
        <v>3.860708534621578</v>
      </c>
      <c r="J23" s="151">
        <f>QUARTILE(N6:N20,3)</f>
        <v>13.058035714285714</v>
      </c>
    </row>
    <row r="24">
      <c r="D24" s="150" t="inlineStr">
        <is>
          <t>Median</t>
        </is>
      </c>
      <c r="I24" s="151">
        <f>MEDIAN(M6:M20)</f>
        <v>3.4611197110423113</v>
      </c>
      <c r="J24" s="151">
        <f>MEDIAN(N6:N20)</f>
        <v>12.613636363636363</v>
      </c>
    </row>
    <row r="25">
      <c r="D25" s="150" t="inlineStr">
        <is>
          <t>Mean</t>
        </is>
      </c>
      <c r="I25" s="151">
        <f>AVERAGE(M6:M20)</f>
        <v>3.7165742859841595</v>
      </c>
      <c r="J25" s="151">
        <f>AVERAGE(N6:N20)</f>
        <v>12.569433968506022</v>
      </c>
    </row>
    <row r="26">
      <c r="D26" s="150" t="inlineStr">
        <is>
          <t>25th percentile</t>
        </is>
      </c>
      <c r="I26" s="151">
        <f>QUARTILE(M6:M20,1)</f>
        <v>2.7575</v>
      </c>
      <c r="J26" s="151">
        <f>QUARTILE(N6:N20,1)</f>
        <v>12.002183406113538</v>
      </c>
    </row>
    <row r="27">
      <c r="D27" s="150" t="inlineStr">
        <is>
          <t>Min</t>
        </is>
      </c>
      <c r="I27" s="151">
        <f>MIN(M6:M20)</f>
        <v>2.6</v>
      </c>
      <c r="J27" s="151">
        <f>MIN(N6:N20)</f>
        <v>10.6</v>
      </c>
    </row>
    <row r="29">
      <c r="B29" s="150" t="str">
        <f>"Implied valuation of "&amp;Name&amp;" (core deals)"</f>
        <v>Implied valuation of Forgent Power Solutions, Inc. (core deals)</v>
      </c>
    </row>
    <row r="30">
      <c r="B30" s="142" t="inlineStr">
        <is>
          <t>Multiple</t>
        </is>
      </c>
      <c r="C30" s="143" t="inlineStr"/>
      <c r="D30" s="143" t="inlineStr">
        <is>
          <t>FPS CY26E metric</t>
        </is>
      </c>
      <c r="E30" s="143" t="inlineStr">
        <is>
          <t>25th pct</t>
        </is>
      </c>
      <c r="F30" s="143" t="inlineStr">
        <is>
          <t>Median</t>
        </is>
      </c>
      <c r="G30" s="143" t="inlineStr">
        <is>
          <t>75th pct</t>
        </is>
      </c>
      <c r="H30" s="143" t="inlineStr">
        <is>
          <t>Price @ 25th</t>
        </is>
      </c>
      <c r="I30" s="143" t="inlineStr">
        <is>
          <t>Price @ median</t>
        </is>
      </c>
      <c r="J30" s="143" t="inlineStr">
        <is>
          <t>Price @ 75th</t>
        </is>
      </c>
    </row>
    <row r="31">
      <c r="B31" s="141" t="inlineStr">
        <is>
          <t>EV / EBITDA</t>
        </is>
      </c>
      <c r="D31" s="161">
        <f>'Fwd Comps'!L23</f>
        <v>464.7445438499999</v>
      </c>
      <c r="E31" s="148">
        <f>J26</f>
        <v>12.002183406113538</v>
      </c>
      <c r="F31" s="148">
        <f>J24</f>
        <v>12.613636363636363</v>
      </c>
      <c r="G31" s="148">
        <f>J23</f>
        <v>13.058035714285714</v>
      </c>
      <c r="H31" s="155">
        <f>(E31*$D31-NetClaims)/DilutedShares</f>
        <v>16.52839578560116</v>
      </c>
      <c r="I31" s="155">
        <f>(F31*$D31-NetClaims)/DilutedShares</f>
        <v>17.459720550577533</v>
      </c>
      <c r="J31" s="155">
        <f>(G31*$D31-NetClaims)/DilutedShares</f>
        <v>18.136600293666696</v>
      </c>
    </row>
    <row r="32">
      <c r="B32" s="141" t="inlineStr">
        <is>
          <t>EV / revenue</t>
        </is>
      </c>
      <c r="D32" s="161">
        <f>'Fwd Comps'!J23</f>
        <v>1960.6594999999998</v>
      </c>
      <c r="E32" s="148">
        <f>I26</f>
        <v>2.7575</v>
      </c>
      <c r="F32" s="148">
        <f>I24</f>
        <v>3.4611197110423113</v>
      </c>
      <c r="G32" s="148">
        <f>I23</f>
        <v>3.860708534621578</v>
      </c>
      <c r="H32" s="155">
        <f>(E32*$D32-NetClaims)/DilutedShares</f>
        <v>15.966556177936644</v>
      </c>
      <c r="I32" s="155">
        <f>(F32*$D32-NetClaims)/DilutedShares</f>
        <v>20.48786296927124</v>
      </c>
      <c r="J32" s="155">
        <f>(G32*$D32-NetClaims)/DilutedShares</f>
        <v>23.055533592247436</v>
      </c>
    </row>
    <row r="34">
      <c r="B34" s="119" t="inlineStr">
        <is>
          <t>Forgent's own roll-up deals under Neos (MGM Transformer $424.7m, VanTran $432.7m, PwrQ $103.0m, States Manufacturing $68.5m; 2023-24) disclose price only, so no multiples (424B4).</t>
        </is>
      </c>
    </row>
    <row r="35">
      <c r="B35" s="119" t="inlineStr">
        <is>
          <t>Revenue multiples mix LTM and forward bases and span 2.6-6.3x; treat the EV/revenue row as a cross-check only.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.96" customWidth="1" style="94" min="1" max="1"/>
    <col width="58" customWidth="1" style="94" min="2" max="2"/>
    <col width="12" customWidth="1" style="94" min="3" max="3"/>
    <col width="12" customWidth="1" style="94" min="4" max="4"/>
    <col width="12" customWidth="1" style="94" min="5" max="5"/>
    <col width="12" customWidth="1" style="94" min="6" max="6"/>
    <col width="12" customWidth="1" style="94" min="7" max="7"/>
  </cols>
  <sheetData>
    <row r="1">
      <c r="A1" s="140" t="str">
        <f>"Valuation Summary for "&amp;Name</f>
        <v>Valuation Summary for Forgent Power Solutions, Inc.</v>
      </c>
    </row>
    <row r="2">
      <c r="A2" s="141" t="str">
        <f>"Value per share; current price $"&amp;TEXT(shareprice,"0.00")&amp;"; live DCF scenario: "&amp;Assumptions!D45</f>
        <v>Value per share; current price $38.97; live DCF scenario: Base</v>
      </c>
    </row>
    <row r="4">
      <c r="B4" s="142" t="inlineStr">
        <is>
          <t>Methodology</t>
        </is>
      </c>
      <c r="C4" s="143" t="inlineStr">
        <is>
          <t>Low</t>
        </is>
      </c>
      <c r="D4" s="143" t="inlineStr">
        <is>
          <t>High</t>
        </is>
      </c>
      <c r="E4" s="143" t="inlineStr">
        <is>
          <t>Spread</t>
        </is>
      </c>
      <c r="F4" s="143" t="inlineStr">
        <is>
          <t>Midpoint</t>
        </is>
      </c>
      <c r="G4" s="143" t="inlineStr">
        <is>
          <t>Midpoint vs. current</t>
        </is>
      </c>
    </row>
    <row r="5">
      <c r="B5" s="141" t="inlineStr">
        <is>
          <t>DCF - Gordon growth only (WACC +/-0.5%, g 2.5-3.5%)</t>
        </is>
      </c>
      <c r="C5" s="162">
        <f>MIN(DCF!G56:I58)</f>
        <v>29.203717140020142</v>
      </c>
      <c r="D5" s="162">
        <f>MAX(DCF!G56:I58)</f>
        <v>37.76173982849119</v>
      </c>
      <c r="E5" s="153">
        <f>D5-C5</f>
        <v>8.558022688471045</v>
      </c>
      <c r="F5" s="153">
        <f>AVERAGE(C5,D5)</f>
        <v>33.48272848425567</v>
      </c>
      <c r="G5" s="149">
        <f>F5/shareprice-1</f>
        <v>-0.14080758315997777</v>
      </c>
    </row>
    <row r="6">
      <c r="B6" s="141" t="inlineStr">
        <is>
          <t>DCF - exit multiple only (WACC +/-0.5%, exit +/-3x)</t>
        </is>
      </c>
      <c r="C6" s="162">
        <f>MIN(DCF!G65:I67)</f>
        <v>32.912909039099034</v>
      </c>
      <c r="D6" s="162">
        <f>MAX(DCF!G65:I67)</f>
        <v>47.29114059317371</v>
      </c>
      <c r="E6" s="153">
        <f>D6-C6</f>
        <v>14.378231554074674</v>
      </c>
      <c r="F6" s="153">
        <f>AVERAGE(C6,D6)</f>
        <v>40.10202481613637</v>
      </c>
      <c r="G6" s="149">
        <f>F6/shareprice-1</f>
        <v>0.02904862243100781</v>
      </c>
    </row>
    <row r="7">
      <c r="B7" s="141" t="inlineStr">
        <is>
          <t>DCF - blended TV, Bear to Bull scenario</t>
        </is>
      </c>
      <c r="C7" s="162">
        <f>MIN(Assumptions!L9:L11)</f>
        <v>22.8707</v>
      </c>
      <c r="D7" s="162">
        <f>MAX(Assumptions!L9:L11)</f>
        <v>47.7447</v>
      </c>
      <c r="E7" s="153">
        <f>D7-C7</f>
        <v>24.874000000000002</v>
      </c>
      <c r="F7" s="153">
        <f>AVERAGE(C7,D7)</f>
        <v>35.3077</v>
      </c>
      <c r="G7" s="149">
        <f>F7/shareprice-1</f>
        <v>-0.0939774185270722</v>
      </c>
    </row>
    <row r="8">
      <c r="B8" s="141" t="inlineStr">
        <is>
          <t>Trading comps - NTM P/E (25th-75th)</t>
        </is>
      </c>
      <c r="C8" s="162">
        <f>'Comps Analysis'!G44</f>
        <v>35.776724977523855</v>
      </c>
      <c r="D8" s="162">
        <f>'Comps Analysis'!G42</f>
        <v>39.20624237801433</v>
      </c>
      <c r="E8" s="153">
        <f>D8-C8</f>
        <v>3.429517400490475</v>
      </c>
      <c r="F8" s="153">
        <f>AVERAGE(C8,D8)</f>
        <v>37.4914836777691</v>
      </c>
      <c r="G8" s="149">
        <f>F8/shareprice-1</f>
        <v>-0.03793985943625611</v>
      </c>
    </row>
    <row r="9">
      <c r="B9" s="141" t="inlineStr">
        <is>
          <t>Forward comps - EV / CY27E EBITDA (25th-75th)</t>
        </is>
      </c>
      <c r="C9" s="162">
        <f>'Fwd Comps'!H29</f>
        <v>35.09944751776252</v>
      </c>
      <c r="D9" s="162">
        <f>'Fwd Comps'!J29</f>
        <v>46.472825931645254</v>
      </c>
      <c r="E9" s="153">
        <f>D9-C9</f>
        <v>11.373378413882733</v>
      </c>
      <c r="F9" s="153">
        <f>AVERAGE(C9,D9)</f>
        <v>40.78613672470389</v>
      </c>
      <c r="G9" s="149">
        <f>F9/shareprice-1</f>
        <v>0.04660345713892444</v>
      </c>
    </row>
    <row r="10">
      <c r="B10" s="141" t="inlineStr">
        <is>
          <t>Forward comps - EV / CY26E EBITDA (25th-75th)</t>
        </is>
      </c>
      <c r="C10" s="162">
        <f>'Fwd Comps'!H28</f>
        <v>25.152103265090727</v>
      </c>
      <c r="D10" s="162">
        <f>'Fwd Comps'!J28</f>
        <v>37.39267870113569</v>
      </c>
      <c r="E10" s="153">
        <f>D10-C10</f>
        <v>12.24057543604496</v>
      </c>
      <c r="F10" s="153">
        <f>AVERAGE(C10,D10)</f>
        <v>31.272390983113205</v>
      </c>
      <c r="G10" s="149">
        <f>F10/shareprice-1</f>
        <v>-0.1975265336640183</v>
      </c>
    </row>
    <row r="11">
      <c r="B11" s="141" t="inlineStr">
        <is>
          <t>Precedent transactions - EV / CY26E EBITDA (25th-75th)</t>
        </is>
      </c>
      <c r="C11" s="162">
        <f>Precedents!H31</f>
        <v>16.52839578560116</v>
      </c>
      <c r="D11" s="162">
        <f>Precedents!J31</f>
        <v>18.136600293666696</v>
      </c>
      <c r="E11" s="153">
        <f>D11-C11</f>
        <v>1.608204508065537</v>
      </c>
      <c r="F11" s="153">
        <f>AVERAGE(C11,D11)</f>
        <v>17.332498039633926</v>
      </c>
      <c r="G11" s="149">
        <f>F11/shareprice-1</f>
        <v>-0.5552348463014132</v>
      </c>
    </row>
    <row r="12">
      <c r="B12" s="141" t="inlineStr">
        <is>
          <t>Since-IPO trading range</t>
        </is>
      </c>
      <c r="C12" s="162">
        <f>low</f>
        <v>25.95</v>
      </c>
      <c r="D12" s="162">
        <f>high</f>
        <v>66.0</v>
      </c>
      <c r="E12" s="153">
        <f>D12-C12</f>
        <v>40.05</v>
      </c>
      <c r="F12" s="153">
        <f>AVERAGE(C12,D12)</f>
        <v>45.975</v>
      </c>
      <c r="G12" s="149">
        <f>F12/shareprice-1</f>
        <v>0.17975365665896859</v>
      </c>
    </row>
    <row r="13">
      <c r="B13" s="141" t="inlineStr">
        <is>
          <t>Analyst consensus price target (reference)</t>
        </is>
      </c>
      <c r="C13" s="144" t="n">
        <v>57.9</v>
      </c>
      <c r="D13" s="144" t="n">
        <v>57.9</v>
      </c>
      <c r="E13" s="153">
        <f>D13-C13</f>
        <v>0.0</v>
      </c>
      <c r="F13" s="153">
        <f>AVERAGE(C13,D13)</f>
        <v>57.9</v>
      </c>
      <c r="G13" s="149">
        <f>F13/shareprice-1</f>
        <v>0.4857582755966128</v>
      </c>
    </row>
    <row r="15">
      <c r="B15" s="150" t="inlineStr">
        <is>
          <t>Current share price</t>
        </is>
      </c>
      <c r="C15" s="155">
        <f>shareprice</f>
        <v>38.97</v>
      </c>
    </row>
    <row r="16">
      <c r="B16" s="150" t="inlineStr">
        <is>
          <t>Target price (base DCF, blended TV)</t>
        </is>
      </c>
      <c r="C16" s="155">
        <f>TargetPrice</f>
        <v>36.34150852065703</v>
      </c>
    </row>
    <row r="17">
      <c r="B17" s="150" t="inlineStr">
        <is>
          <t>Market-implied EV / FY27E adj. EBITDA</t>
        </is>
      </c>
      <c r="C17" s="151">
        <f>Enterprise/Inc_Stmt!F43</f>
        <v>20.439429352975488</v>
      </c>
    </row>
    <row r="18">
      <c r="B18" s="119" t="inlineStr">
        <is>
          <t>DCF rows follow the live scenario except the Bear-Bull row, which uses the pasted values in Assumptions!L9:L11.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ColWidth="8.875" defaultRowHeight="15"/>
  <cols>
    <col width="2.95703125" customWidth="1" style="94" min="1" max="1"/>
    <col width="149.9921875" customWidth="1" style="94" min="2" max="2"/>
  </cols>
  <sheetData>
    <row r="1" ht="18.75" customHeight="1" s="94">
      <c r="B1" s="24" t="inlineStr">
        <is>
          <t>Model notes, conventions &amp; sources</t>
        </is>
      </c>
    </row>
    <row r="3" ht="15.75" customHeight="1" s="94">
      <c r="B3" s="91" t="inlineStr">
        <is>
          <t>Conventions</t>
        </is>
      </c>
    </row>
    <row r="4">
      <c r="B4" s="92" t="inlineStr">
        <is>
          <t>Blue font = hardcoded input (sourced in the grey note column); black = formula. Yellow fill = key selector / analyst cells (Scenario, Recommendation, exit-multiple override, DCF price).</t>
        </is>
      </c>
    </row>
    <row r="5">
      <c r="B5" s="92" t="inlineStr">
        <is>
          <t>Scenario switch: Assumptions!C45 (1 Base / 2 Bull / 3 Bear). Every projected driver = OFFSET(live row, Scenario).</t>
        </is>
      </c>
    </row>
    <row r="6" ht="15.75" customHeight="1" s="94">
      <c r="B6" s="91" t="inlineStr">
        <is>
          <t>Structural decisions (differ from the Oracle template)</t>
        </is>
      </c>
    </row>
    <row r="7">
      <c r="B7" s="92" t="inlineStr">
        <is>
          <t>1. 10-year projection (FY27–FY36): FPS is still growing ~10% in year 5, so a 5-year model would back-load EV into the terminal value.</t>
        </is>
      </c>
    </row>
    <row r="8" ht="23.25" customHeight="1" s="94">
      <c r="B8" s="92" t="inlineStr">
        <is>
          <t>2. Up-C: value is divided by fully-exchanged shares (Class A + Class B + RSUs = 305.1m); book NCI is therefore NOT subtracted. Tax is normalized at 25% because the reported 16.8% ETR excludes the untaxed NCI share.</t>
        </is>
      </c>
    </row>
    <row r="9" ht="23.25" customHeight="1" s="94">
      <c r="B9" s="92" t="inlineStr">
        <is>
          <t>3. TRA: bridge subtracts the $338.9m liability and adds back the $281.0m DTA and $24.2m TRA-restricted cash that fund it (net claim ≈ $33.7m). Subtracting the liability alone would understate value by ~$0.92/share.</t>
        </is>
      </c>
    </row>
    <row r="10">
      <c r="B10" s="92" t="inlineStr">
        <is>
          <t>4. SBC is expensed (GAAP EBITDA), not added back. IPO one-offs ($64.2m in FY26) are zero in projections.</t>
        </is>
      </c>
    </row>
    <row r="11">
      <c r="B11" s="92" t="inlineStr">
        <is>
          <t>5. Capacity: revenue beyond Capacity × Util triggers growth capex at $35m per $800m of capacity (mgmt's PTS expansion economics).</t>
        </is>
      </c>
    </row>
    <row r="12">
      <c r="B12" s="92" t="inlineStr">
        <is>
          <t>6. Operating leases are not debt (US GAAP lease cost is already inside EBITDA).</t>
        </is>
      </c>
    </row>
    <row r="13" ht="15.75" customHeight="1" s="94">
      <c r="B13" s="91" t="inlineStr">
        <is>
          <t>Fixes vs. the Oracle template</t>
        </is>
      </c>
    </row>
    <row r="14" ht="23.25" customHeight="1" s="94">
      <c r="B14" s="92" t="inlineStr">
        <is>
          <t>EV bridge: Oracle added cash and minority interest into EV and only subtracted debt; here cash/claims are handled in the equity bridge. Discounting: Oracle's year 1 used exponent 0; here periods are dated from the valuation date with a mid-year toggle. EBIT now ties to its components (Oracle's EBIT row used a margin assumption while COGS/SG&amp;A were projected separately). Days use 365. No #REF! links.</t>
        </is>
      </c>
    </row>
    <row r="15" ht="15.75" customHeight="1" s="94">
      <c r="B15" s="91" t="inlineStr">
        <is>
          <t>Known simplifications</t>
        </is>
      </c>
    </row>
    <row r="16" ht="23.25" customHeight="1" s="94">
      <c r="B16" s="92" t="inlineStr">
        <is>
          <t>Debt OID ($16.3m) held flat; interest on principal. Term loan (matures 12/2032) assumed refinanced on same terms. TRA payments, tax distributions to NCI and any buybacks/dividends not modeled in the cash roll. Amortization of acquired intangibles is added back in UFCF (tax shield ≈ $6m/yr).</t>
        </is>
      </c>
    </row>
    <row r="17" ht="23.25" customHeight="1" s="94">
      <c r="B17" s="92" t="inlineStr">
        <is>
          <t>Exit multiple: overridden to 14.0x at Assumptions!D40 (was the peer median EV / LTM EBITDA of 27.8x, a near-peak AI-cycle trailing multiple that implied ~7% perpetual growth when applied to FY36). 14.0x sits between the precedent median (~12.6x) and the 25th-pct peer EV / CY27E EBITDA (~15.5x). Check DCF!E47 after any change.</t>
        </is>
      </c>
    </row>
    <row r="18" ht="15.75" customHeight="1" s="94">
      <c r="B18" s="91" t="inlineStr">
        <is>
          <t>Sources</t>
        </is>
      </c>
    </row>
    <row r="19" ht="23.25" customHeight="1" s="94">
      <c r="B19" s="92" t="inlineStr">
        <is>
          <t>Form 10-K FY2026 (filed 2026-09-15): https://www.sec.gov/Archives/edgar/data/2080126/000208012626000035/fps-20260630.htm — balance sheet / IS / CF values taken from SEC XBRL company facts (CIK 0002080126).</t>
        </is>
      </c>
    </row>
    <row r="20">
      <c r="B20" s="92" t="inlineStr">
        <is>
          <t>Q4 FY26 earnings release &amp; FY27 guidance (2026-09-15): https://www.sec.gov/Archives/edgar/data/2080126/000208012626000034/exhibit991earningsrelease_.htm</t>
        </is>
      </c>
    </row>
    <row r="21">
      <c r="B21" s="92" t="inlineStr">
        <is>
          <t>IPO prospectus 424B4 (2026-02-06), pro forma FY24: https://www.sec.gov/Archives/edgar/data/2080126/000119312526040029/d890989d424b4.htm</t>
        </is>
      </c>
    </row>
    <row r="22" ht="23.25" customHeight="1" s="94">
      <c r="B22" s="92" t="inlineStr">
        <is>
          <t>Market data 9/25/2026: stockanalysis.com (FPS &amp; peers), MarketBeat, MarketScreener; consensus: StockAnalysis forecast pages, Finviz. 10Y UST: home.treasury.gov daily par yield curve 9/25/2026. ERP: Damodaran (NYU Stern) implied ERP, 9/1/2026 update.</t>
        </is>
      </c>
    </row>
    <row r="24">
      <c r="B24" s="91" t="inlineStr">
        <is>
          <t>Merged additions (Sept 2026)</t>
        </is>
      </c>
    </row>
    <row r="25">
      <c r="B25" s="163" t="inlineStr">
        <is>
          <t>'Fwd Comps': 9 peers with consensus CY26E/CY27E revenue and EBITDA (MarketScreener); FPS calendarized from June FYE.</t>
        </is>
      </c>
    </row>
    <row r="26">
      <c r="B26" s="163" t="inlineStr">
        <is>
          <t>'Precedents': 11 core power-distribution / data-center power deals (2021-2026) + 4 adjacent deals excluded from stats; sources per row.</t>
        </is>
      </c>
    </row>
    <row r="27">
      <c r="B27" s="163" t="inlineStr">
        <is>
          <t>'Football Field': DCF, trading comps, forward comps, precedents, trading range and analyst target on one page.</t>
        </is>
      </c>
    </row>
    <row r="28">
      <c r="B28" s="163" t="inlineStr">
        <is>
          <t>Assumptions!L9:L11 re-pasted after the exit-multiple change (Base / Bull / Bear).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2026-09-26T21:57:06Z</dcterms:created>
  <dcterms:modified xmlns:dcterms="http://purl.org/dc/terms/" xmlns:xsi="http://www.w3.org/2001/XMLSchema-instance" xsi:type="dcterms:W3CDTF">2026-09-26T22:30:02Z</dcterms:modified>
  <cp:lastModifiedBy>Kevin Jin</cp:lastModifiedBy>
</cp:coreProperties>
</file>