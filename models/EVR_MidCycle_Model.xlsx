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History" sheetId="3" state="visible" r:id="rId5"/>
    <sheet name="MidCycle" sheetId="4" state="visible" r:id="rId6"/>
    <sheet name="Value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RevenuesNetOfInterestExpense</t>
        </r>
      </text>
    </comment>
    <comment ref="B7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LaborAndRelatedExpense</t>
        </r>
      </text>
    </comment>
    <comment ref="B8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OperatingExpenses</t>
        </r>
      </text>
    </comment>
    <comment ref="B9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IncomeLossFromContinuingOperationsBefore...NoncontrollingInterest</t>
        </r>
      </text>
    </comment>
    <comment ref="B10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NetIncomeLoss</t>
        </r>
      </text>
    </comment>
    <comment ref="B11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EarningsPerShareDiluted</t>
        </r>
      </text>
    </comment>
    <comment ref="B12" authorId="0">
      <text>
        <r>
          <rPr>
            <sz val="10"/>
            <rFont val="Arial"/>
            <family val="2"/>
          </rPr>
          <t xml:space="preserve">SEC EDGAR, Evercore Inc. (CIK 1360901) XBRL companyfacts, 10-K full-year values (latest restatement). Tag: WeightedAverageNumberOfDilutedSharesOutstanding</t>
        </r>
      </text>
    </comment>
    <comment ref="E19" authorId="0">
      <text>
        <r>
          <rPr>
            <sz val="10"/>
            <rFont val="Arial"/>
            <family val="2"/>
          </rPr>
          <t xml:space="preserve">SEC EDGAR, Evercore Inc. (CIK 1360901). 10-K FY2012: 60 SMDs in Investment Banking.</t>
        </r>
      </text>
    </comment>
    <comment ref="F19" authorId="0">
      <text>
        <r>
          <rPr>
            <sz val="10"/>
            <rFont val="Arial"/>
            <family val="2"/>
          </rPr>
          <t xml:space="preserve">SEC EDGAR, Evercore Inc. (CIK 1360901). 10-K FY2013: 67 SMDs in Investment Banking.</t>
        </r>
      </text>
    </comment>
    <comment ref="G19" authorId="0">
      <text>
        <r>
          <rPr>
            <sz val="10"/>
            <rFont val="Arial"/>
            <family val="2"/>
          </rPr>
          <t xml:space="preserve">SEC EDGAR, Evercore Inc. (CIK 1360901). 10-K FY2014: 68 advisory SMDs.</t>
        </r>
      </text>
    </comment>
    <comment ref="H19" authorId="0">
      <text>
        <r>
          <rPr>
            <sz val="10"/>
            <rFont val="Arial"/>
            <family val="2"/>
          </rPr>
          <t xml:space="preserve">SEC EDGAR, Evercore Inc. (CIK 1360901). 10-K FY2015: 79 Advisory SMDs.</t>
        </r>
      </text>
    </comment>
    <comment ref="I19" authorId="0">
      <text>
        <r>
          <rPr>
            <sz val="10"/>
            <rFont val="Arial"/>
            <family val="2"/>
          </rPr>
          <t xml:space="preserve">SEC EDGAR, Evercore Inc. (CIK 1360901). 10-K FY2016: 81 Advisory SMDs.</t>
        </r>
      </text>
    </comment>
    <comment ref="J19" authorId="0">
      <text>
        <r>
          <rPr>
            <sz val="10"/>
            <rFont val="Arial"/>
            <family val="2"/>
          </rPr>
          <t xml:space="preserve">SEC EDGAR, Evercore Inc. (CIK 1360901). 10-K FY2017: 87 SMDs in strategic and capital markets advisory.</t>
        </r>
      </text>
    </comment>
    <comment ref="K15" authorId="0">
      <text>
        <r>
          <rPr>
            <sz val="10"/>
            <rFont val="Arial"/>
            <family val="2"/>
          </rPr>
          <t xml:space="preserve">SEC EDGAR, Evercore Inc. (CIK 1360901). Q4'19 release (8-K 29-Jan-2020) restated column; EPS from Q4'18 release 30-Jan-2019.</t>
        </r>
      </text>
    </comment>
    <comment ref="K19" authorId="0">
      <text>
        <r>
          <rPr>
            <sz val="10"/>
            <rFont val="Arial"/>
            <family val="2"/>
          </rPr>
          <t xml:space="preserve">SEC EDGAR, Evercore Inc. (CIK 1360901). 10-K FY2018: 98 SMDs in strategic and capital markets advisory.</t>
        </r>
      </text>
    </comment>
    <comment ref="L15" authorId="0">
      <text>
        <r>
          <rPr>
            <sz val="10"/>
            <rFont val="Arial"/>
            <family val="2"/>
          </rPr>
          <t xml:space="preserve">SEC EDGAR, Evercore Inc. (CIK 1360901). Q4'19 release, 8-K filed 29-Jan-2020.</t>
        </r>
      </text>
    </comment>
    <comment ref="L19" authorId="0">
      <text>
        <r>
          <rPr>
            <sz val="10"/>
            <rFont val="Arial"/>
            <family val="2"/>
          </rPr>
          <t xml:space="preserve">SEC EDGAR, Evercore Inc. (CIK 1360901). 10-K FY2019: 112 SMDs in strategic and capital markets advisory.</t>
        </r>
      </text>
    </comment>
    <comment ref="M15" authorId="0">
      <text>
        <r>
          <rPr>
            <sz val="10"/>
            <rFont val="Arial"/>
            <family val="2"/>
          </rPr>
          <t xml:space="preserve">SEC EDGAR, Evercore Inc. (CIK 1360901). Q4'20 release, 8-K filed 3-Feb-2021.</t>
        </r>
      </text>
    </comment>
    <comment ref="M19" authorId="0">
      <text>
        <r>
          <rPr>
            <sz val="10"/>
            <rFont val="Arial"/>
            <family val="2"/>
          </rPr>
          <t xml:space="preserve">SEC EDGAR, Evercore Inc. (CIK 1360901). Q4'21 release: 107 Advisory SMDs at 31-Dec-2020 (company-adjusted for commits/departures).</t>
        </r>
      </text>
    </comment>
    <comment ref="N15" authorId="0">
      <text>
        <r>
          <rPr>
            <sz val="10"/>
            <rFont val="Arial"/>
            <family val="2"/>
          </rPr>
          <t xml:space="preserve">SEC EDGAR, Evercore Inc. (CIK 1360901). Q4'21 release, 8-K filed 2-Feb-2022.</t>
        </r>
      </text>
    </comment>
    <comment ref="N19" authorId="0">
      <text>
        <r>
          <rPr>
            <sz val="10"/>
            <rFont val="Arial"/>
            <family val="2"/>
          </rPr>
          <t xml:space="preserve">SEC EDGAR, Evercore Inc. (CIK 1360901). Q4'21 release: 114 Advisory SMDs (adjusted for commits/departures).</t>
        </r>
      </text>
    </comment>
    <comment ref="O15" authorId="0">
      <text>
        <r>
          <rPr>
            <sz val="10"/>
            <rFont val="Arial"/>
            <family val="2"/>
          </rPr>
          <t xml:space="preserve">SEC EDGAR, Evercore Inc. (CIK 1360901). Q4'22 release, 8-K filed 1-Feb-2023.</t>
        </r>
      </text>
    </comment>
    <comment ref="O19" authorId="0">
      <text>
        <r>
          <rPr>
            <sz val="10"/>
            <rFont val="Arial"/>
            <family val="2"/>
          </rPr>
          <t xml:space="preserve">SEC EDGAR, Evercore Inc. (CIK 1360901). Q4'22 release: 130 Advisory SMDs (adjusted for commits/departures).</t>
        </r>
      </text>
    </comment>
    <comment ref="P15" authorId="0">
      <text>
        <r>
          <rPr>
            <sz val="10"/>
            <rFont val="Arial"/>
            <family val="2"/>
          </rPr>
          <t xml:space="preserve">SEC EDGAR, Evercore Inc. (CIK 1360901). Q4'23 release, 8-K filed 31-Jan-2024.</t>
        </r>
      </text>
    </comment>
    <comment ref="P19" authorId="0">
      <text>
        <r>
          <rPr>
            <sz val="10"/>
            <rFont val="Arial"/>
            <family val="2"/>
          </rPr>
          <t xml:space="preserve">SEC EDGAR, Evercore Inc. (CIK 1360901). Q4'23 release: 136 Advisory SMDs (adjusted for commits/departures).</t>
        </r>
      </text>
    </comment>
    <comment ref="Q15" authorId="0">
      <text>
        <r>
          <rPr>
            <sz val="10"/>
            <rFont val="Arial"/>
            <family val="2"/>
          </rPr>
          <t xml:space="preserve">SEC EDGAR, Evercore Inc. (CIK 1360901). Q4'24 release, 8-K filed 5-Feb-2025.</t>
        </r>
      </text>
    </comment>
    <comment ref="Q19" authorId="0">
      <text>
        <r>
          <rPr>
            <sz val="10"/>
            <rFont val="Arial"/>
            <family val="2"/>
          </rPr>
          <t xml:space="preserve">SEC EDGAR, Evercore Inc. (CIK 1360901). Q4'24 release: 144 Investment Banking SMDs (adjusted for commits/departures).</t>
        </r>
      </text>
    </comment>
    <comment ref="R15" authorId="0">
      <text>
        <r>
          <rPr>
            <sz val="10"/>
            <rFont val="Arial"/>
            <family val="2"/>
          </rPr>
          <t xml:space="preserve">SEC EDGAR, Evercore Inc. (CIK 1360901). Q4'25 release, 8-K filed 4-Feb-2026.</t>
        </r>
      </text>
    </comment>
    <comment ref="R19" authorId="0">
      <text>
        <r>
          <rPr>
            <sz val="10"/>
            <rFont val="Arial"/>
            <family val="2"/>
          </rPr>
          <t xml:space="preserve">SEC EDGAR, Evercore Inc. (CIK 1360901). Q4'25 release: 171 Investment Banking SMDs (adjusted for commits/departures).</t>
        </r>
      </text>
    </comment>
  </commentList>
</comments>
</file>

<file path=xl/sharedStrings.xml><?xml version="1.0" encoding="utf-8"?>
<sst xmlns="http://schemas.openxmlformats.org/spreadsheetml/2006/main" count="205" uniqueCount="202">
  <si>
    <t xml:space="preserve">Evercore (EVR) - What Is an Average Year Worth?</t>
  </si>
  <si>
    <t xml:space="preserve">All figures link to the model; change Inputs and this page updates. Adjusted (non-GAAP) EPS basis to match consensus.</t>
  </si>
  <si>
    <t xml:space="preserve">Mid-cycle EPS today</t>
  </si>
  <si>
    <t xml:space="preserve">Mid-cycle Adjusted EPS, base year</t>
  </si>
  <si>
    <t xml:space="preserve">Blend of trend-line and SMD-capacity methods.</t>
  </si>
  <si>
    <t xml:space="preserve">   Method 1 (trend) only</t>
  </si>
  <si>
    <t xml:space="preserve">   Method 2 (capacity) only</t>
  </si>
  <si>
    <t xml:space="preserve">Mid-cycle operating margin</t>
  </si>
  <si>
    <t xml:space="preserve">Read off margin-vs-revenue regression at trend revenue.</t>
  </si>
  <si>
    <t xml:space="preserve">Mid-cycle EPS, next year</t>
  </si>
  <si>
    <t xml:space="preserve">Consensus next-year EPS</t>
  </si>
  <si>
    <t xml:space="preserve">Consensus above mid-cycle by</t>
  </si>
  <si>
    <t xml:space="preserve">Positive = consensus assumes an above-average year continues.</t>
  </si>
  <si>
    <t xml:space="preserve">Multiples</t>
  </si>
  <si>
    <t xml:space="preserve">P/E on consensus</t>
  </si>
  <si>
    <t xml:space="preserve">Looks cheap...</t>
  </si>
  <si>
    <t xml:space="preserve">P/E on mid-cycle EPS</t>
  </si>
  <si>
    <t xml:space="preserve">...the cyclical-correct read.</t>
  </si>
  <si>
    <t xml:space="preserve">P/E on mid-cycle EPS at the 52-week high</t>
  </si>
  <si>
    <t xml:space="preserve">How rich the peak was.</t>
  </si>
  <si>
    <t xml:space="preserve">Fair P/E on mid-cycle EPS (model)</t>
  </si>
  <si>
    <t xml:space="preserve">Value</t>
  </si>
  <si>
    <t xml:space="preserve">Value per share (fading-growth model)</t>
  </si>
  <si>
    <t xml:space="preserve">Upside / (downside) vs price</t>
  </si>
  <si>
    <t xml:space="preserve">Perpetual growth in mid-cycle earnings implied by price</t>
  </si>
  <si>
    <t xml:space="preserve">Compare with ~4-5% fee-pool growth. Higher = price already pays for continued share gains.</t>
  </si>
  <si>
    <t xml:space="preserve">Rate effect (how much of the de-rating rates alone explain)</t>
  </si>
  <si>
    <t xml:space="preserve">Single-stage fair P/E at current cost of equity</t>
  </si>
  <si>
    <t xml:space="preserve">At terminal growth input.</t>
  </si>
  <si>
    <t xml:space="preserve">Same, with risk-free rate lower by the YTD rise</t>
  </si>
  <si>
    <t xml:space="preserve">Multiple compression from rates alone</t>
  </si>
  <si>
    <t xml:space="preserve">Compare with the ~31% peak-to-now price fall.</t>
  </si>
  <si>
    <t xml:space="preserve">Peak-to-now price change</t>
  </si>
  <si>
    <t xml:space="preserve">Evercore (NYSE: EVR) - Mid-Cycle Earnings Inputs</t>
  </si>
  <si>
    <t xml:space="preserve">$ in millions except per-share. Blue = hardcoded input; black = formula; green = link; yellow = key judgement call. Change any blue cell and the workbook recalculates.</t>
  </si>
  <si>
    <t xml:space="preserve">Market data</t>
  </si>
  <si>
    <t xml:space="preserve">Share price ($)</t>
  </si>
  <si>
    <t xml:space="preserve">Close 6-Oct-2026, as provided by user (not independently re-checked).</t>
  </si>
  <si>
    <t xml:space="preserve">52-week high ($)</t>
  </si>
  <si>
    <t xml:space="preserve">As provided by user.</t>
  </si>
  <si>
    <t xml:space="preserve">Consensus 2027E EPS, adjusted ($)</t>
  </si>
  <si>
    <t xml:space="preserve">As provided by user. Consensus is on Evercore's Adjusted basis, so this model uses Adjusted EPS throughout.</t>
  </si>
  <si>
    <t xml:space="preserve">H1 2026 Adjusted NI attributable to EVR ($mm)</t>
  </si>
  <si>
    <t xml:space="preserve">Q2'26 release, 8-K filed 29-Jul-2026.</t>
  </si>
  <si>
    <t xml:space="preserve">H1 2026 Adjusted diluted EPS ($)</t>
  </si>
  <si>
    <t xml:space="preserve">Current Adjusted diluted shares (mm)</t>
  </si>
  <si>
    <t xml:space="preserve">Implied: H1'26 Adjusted NI / Adjusted EPS.</t>
  </si>
  <si>
    <t xml:space="preserve">Method 1 - revenue trend line</t>
  </si>
  <si>
    <t xml:space="preserve">Trend window start year</t>
  </si>
  <si>
    <t xml:space="preserve">KEY CHOICE. 2009-2015 was a start-up/scale-up phase (revenue +16%/yr) that would bias the trend upward; 2016 start = post-ISI-acquisition, mature firm, spans 2019/2023 troughs and 2021 peak.</t>
  </si>
  <si>
    <t xml:space="preserve">Trend window end year</t>
  </si>
  <si>
    <t xml:space="preserve">Last full fiscal year reported.</t>
  </si>
  <si>
    <t xml:space="preserve">Mid-cycle base year</t>
  </si>
  <si>
    <t xml:space="preserve">Year for which mid-cycle earnings are estimated.</t>
  </si>
  <si>
    <t xml:space="preserve">Method 2 - SMD capacity x normal productivity</t>
  </si>
  <si>
    <t xml:space="preserve">Investment Banking SMDs now</t>
  </si>
  <si>
    <t xml:space="preserve">30-Jun-2026, incl. commits, net of known departures. Q2'26 release.</t>
  </si>
  <si>
    <t xml:space="preserve">Investment Banking SMDs one year earlier</t>
  </si>
  <si>
    <t xml:space="preserve">30-Jun-2025, same basis. Q2'26 release.</t>
  </si>
  <si>
    <t xml:space="preserve">Productivity of SMDs added in last 12m (vs. tenured)</t>
  </si>
  <si>
    <t xml:space="preserve">Assumption: lateral/promoted SMDs typically take 2-3 years to reach full productivity. Also absorbs that the count includes commits not yet on board.</t>
  </si>
  <si>
    <t xml:space="preserve">Blend &amp; earnings conversion</t>
  </si>
  <si>
    <t xml:space="preserve">Weight on Method 1 (trend) vs Method 2 (capacity)</t>
  </si>
  <si>
    <t xml:space="preserve">Assumption. Method 2 reflects today's firm; Method 1 reflects the past path. Equal weight absent a reason to prefer.</t>
  </si>
  <si>
    <t xml:space="preserve">Growth of mid-cycle earnings  (g = fee-pool growth + share gains)</t>
  </si>
  <si>
    <t xml:space="preserve">Industry fee-pool growth, through-cycle (nominal)</t>
  </si>
  <si>
    <t xml:space="preserve">Assumption. Over full cycles, advisory fees track deal value, which tracks corporate value / nominal GDP (~4-5%). No buyback term: value is computed on total company distributions, then divided by today's shares - adding buyback-driven EPS growth too would double count.</t>
  </si>
  <si>
    <t xml:space="preserve">Share-gain contribution in year 1</t>
  </si>
  <si>
    <t xml:space="preserve">Assumption. Fades linearly to zero by year 10. History: SMDs +8%/yr 2016-25 but revenue/SMD flat in nominal terms, so headcount growth has not translated 1:1 into share.</t>
  </si>
  <si>
    <t xml:space="preserve">Terminal growth (after year 10)</t>
  </si>
  <si>
    <t xml:space="preserve">Assumption. At or below nominal GDP.</t>
  </si>
  <si>
    <t xml:space="preserve">Return on equity on incremental capital</t>
  </si>
  <si>
    <t xml:space="preserve">Assumption. Sets reinvestment = g / ROE; payout = 1 - g/ROE. 2025 Adjusted NI / avg equity was ~35% at above-mid-cycle earnings. Growth here is funded mostly through comp (already in margins), so payout is high.</t>
  </si>
  <si>
    <t xml:space="preserve">Cost of equity (CAPM)</t>
  </si>
  <si>
    <t xml:space="preserve">Risk-free rate (10-year UST)</t>
  </si>
  <si>
    <t xml:space="preserve">As provided by user (10-year at 5.28%, up ~110bp YTD). Not re-checked.</t>
  </si>
  <si>
    <t xml:space="preserve">Equity beta</t>
  </si>
  <si>
    <t xml:space="preserve">Assumption - verify against a data provider. Advisory boutiques typically screen 1.3-1.6.</t>
  </si>
  <si>
    <t xml:space="preserve">Equity risk premium</t>
  </si>
  <si>
    <t xml:space="preserve">Assumption.</t>
  </si>
  <si>
    <t xml:space="preserve">Cost of equity</t>
  </si>
  <si>
    <t xml:space="preserve">Change in 10-year yield this year (for rate-effect check)</t>
  </si>
  <si>
    <t xml:space="preserve">As provided by user (~110bp). Used only on Summary to show how much of the de-rating rates alone explain.</t>
  </si>
  <si>
    <t xml:space="preserve">Evercore - Reported History, 2009-2025</t>
  </si>
  <si>
    <t xml:space="preserve">$ in millions except per-share. GAAP from XBRL; Adjusted (non-GAAP) and SMD counts from earnings releases and 10-Ks. Each blue cell carries its source in a comment. Years are calendar = fiscal.</t>
  </si>
  <si>
    <t xml:space="preserve">Year</t>
  </si>
  <si>
    <t xml:space="preserve">Reported - U.S. GAAP</t>
  </si>
  <si>
    <t xml:space="preserve">Net revenues</t>
  </si>
  <si>
    <t xml:space="preserve">Employee compensation &amp; benefits</t>
  </si>
  <si>
    <t xml:space="preserve">Total operating expenses</t>
  </si>
  <si>
    <t xml:space="preserve">Pre-tax income</t>
  </si>
  <si>
    <t xml:space="preserve">Net income attributable to Evercore</t>
  </si>
  <si>
    <t xml:space="preserve">Diluted EPS ($)</t>
  </si>
  <si>
    <t xml:space="preserve">Diluted shares (mm)</t>
  </si>
  <si>
    <t xml:space="preserve">Reported - Adjusted (company non-GAAP basis; consensus is on this basis)</t>
  </si>
  <si>
    <t xml:space="preserve">Adjusted net revenues</t>
  </si>
  <si>
    <t xml:space="preserve">Adjusted operating income</t>
  </si>
  <si>
    <t xml:space="preserve">Adjusted net income attributable to Evercore</t>
  </si>
  <si>
    <t xml:space="preserve">Adjusted diluted EPS ($)</t>
  </si>
  <si>
    <t xml:space="preserve">Investment Banking / Advisory SMDs, year end</t>
  </si>
  <si>
    <t xml:space="preserve">Derived ratios</t>
  </si>
  <si>
    <t xml:space="preserve">GAAP compensation ratio</t>
  </si>
  <si>
    <t xml:space="preserve">GAAP non-comp opex / revenue</t>
  </si>
  <si>
    <t xml:space="preserve">Adjusted operating margin</t>
  </si>
  <si>
    <t xml:space="preserve">Adjusted NI / Adjusted operating income (tax, NCI, other)</t>
  </si>
  <si>
    <t xml:space="preserve">Adjusted diluted shares (mm) = Adj NI / Adj EPS</t>
  </si>
  <si>
    <t xml:space="preserve">Net revenue per SMD ($mm)</t>
  </si>
  <si>
    <t xml:space="preserve">LN(net revenue)  [helper for trend regression]</t>
  </si>
  <si>
    <t xml:space="preserve">Trend net revenue (Method 1 line)</t>
  </si>
  <si>
    <t xml:space="preserve">Revenue / trend  (&gt;1 = above-trend year)</t>
  </si>
  <si>
    <t xml:space="preserve">Revenue / trend - 1  [regressor for margin]</t>
  </si>
  <si>
    <t xml:space="preserve">Mid-cycle Adjusted EPS at the time (trend rev x mid-cycle margin x conversion / shares)</t>
  </si>
  <si>
    <t xml:space="preserve">Actual Adjusted EPS / mid-cycle EPS  (cycle position)</t>
  </si>
  <si>
    <t xml:space="preserve">Revenue per SMD uses total net revenue (incl. Equities and Wealth Management, ~10-15% of revenue) over year-end advisory SMDs; before 2015 it is distorted by the ISI acquisition (Oct-2014). SMD counts from 2020 are company-adjusted to include committed hires.</t>
  </si>
  <si>
    <t xml:space="preserve">Evercore - Mid-Cycle Earnings Estimate</t>
  </si>
  <si>
    <t xml:space="preserve">Principle: earnings = revenue x margin. Split each into a cyclical part (average it out) and a structural part (trend it forward).</t>
  </si>
  <si>
    <t xml:space="preserve">1. Mid-cycle REVENUE</t>
  </si>
  <si>
    <t xml:space="preserve">Method 1 - log-linear trend of GAAP net revenue over the chosen window</t>
  </si>
  <si>
    <t xml:space="preserve">Trend slope (log points / year)</t>
  </si>
  <si>
    <t xml:space="preserve">Least-squares fit of LN(revenue) on year.</t>
  </si>
  <si>
    <t xml:space="preserve">Trend intercept</t>
  </si>
  <si>
    <t xml:space="preserve">Trend growth rate</t>
  </si>
  <si>
    <t xml:space="preserve">Through-cycle revenue growth implied by the window. Very sensitive to the start year (see note).</t>
  </si>
  <si>
    <t xml:space="preserve">Mid-cycle revenue, base year - Method 1</t>
  </si>
  <si>
    <t xml:space="preserve">Point on the trend line in the base year.</t>
  </si>
  <si>
    <t xml:space="preserve">Method 2 - SMD capacity x normal revenue per SMD</t>
  </si>
  <si>
    <t xml:space="preserve">Normal revenue per SMD (window average, $mm)</t>
  </si>
  <si>
    <t xml:space="preserve">Average over the same window, so booms and busts net out. Nominal: it has been ~flat since 2016.</t>
  </si>
  <si>
    <t xml:space="preserve">SMDs added in last 12 months</t>
  </si>
  <si>
    <t xml:space="preserve">Productive-equivalent SMDs</t>
  </si>
  <si>
    <t xml:space="preserve">New SMDs counted at the ramp-productivity input.</t>
  </si>
  <si>
    <t xml:space="preserve">Mid-cycle revenue, base year - Method 2</t>
  </si>
  <si>
    <t xml:space="preserve">Blended mid-cycle revenue</t>
  </si>
  <si>
    <t xml:space="preserve">If Methods 1 and 2 disagree by &gt;15%, one of the inputs is wrong - check before trusting either.</t>
  </si>
  <si>
    <t xml:space="preserve">Method 2 / Method 1 - 1</t>
  </si>
  <si>
    <t xml:space="preserve">2. Mid-cycle MARGIN and earnings conversion</t>
  </si>
  <si>
    <t xml:space="preserve">Operating leverage: margin change per +100% revenue vs trend</t>
  </si>
  <si>
    <t xml:space="preserve">Regression of Adjusted operating margin on (revenue/trend - 1), 2018-2025. Sticky comp means margin rises in booms.</t>
  </si>
  <si>
    <t xml:space="preserve">Mid-cycle Adjusted operating margin (regression read at trend)</t>
  </si>
  <si>
    <t xml:space="preserve">Margin the firm earns when revenue is exactly on trend. Better than a simple average if the sample is skewed to booms or busts.</t>
  </si>
  <si>
    <t xml:space="preserve">Memo: simple average Adjusted operating margin 2018-2025</t>
  </si>
  <si>
    <t xml:space="preserve">Cross-check on C22.</t>
  </si>
  <si>
    <t xml:space="preserve">Adjusted NI / operating income (avg 2018-2025)</t>
  </si>
  <si>
    <t xml:space="preserve">Captures tax rate (incl. recurring Q1 share-vesting tax benefits), NCI and other items. Post-2017 tax reform only.</t>
  </si>
  <si>
    <t xml:space="preserve">3. Mid-cycle EARNINGS</t>
  </si>
  <si>
    <t xml:space="preserve">Mid-cycle Adjusted operating income ($mm)</t>
  </si>
  <si>
    <t xml:space="preserve">Mid-cycle Adjusted NI ($mm)</t>
  </si>
  <si>
    <t xml:space="preserve">Mid-cycle Adjusted EPS, base year ($)</t>
  </si>
  <si>
    <t xml:space="preserve">On today's diluted share count.</t>
  </si>
  <si>
    <t xml:space="preserve">Memo: Method 1 only EPS</t>
  </si>
  <si>
    <t xml:space="preserve">Memo: Method 2 only EPS</t>
  </si>
  <si>
    <t xml:space="preserve">4. What the market and consensus imply</t>
  </si>
  <si>
    <t xml:space="preserve">Mid-cycle EPS, base year + 1 ($)</t>
  </si>
  <si>
    <t xml:space="preserve">One year of mid-cycle growth (Value sheet, year 1).</t>
  </si>
  <si>
    <t xml:space="preserve">Consensus next-year EPS ($)</t>
  </si>
  <si>
    <t xml:space="preserve">Consensus vs mid-cycle (same year)</t>
  </si>
  <si>
    <t xml:space="preserve">How far above an average year consensus sits. Large positive = consensus is a peak-year number.</t>
  </si>
  <si>
    <t xml:space="preserve">The headline '12x'.</t>
  </si>
  <si>
    <t xml:space="preserve">P/E on mid-cycle EPS (same year)</t>
  </si>
  <si>
    <t xml:space="preserve">The multiple that actually matters for a cyclical.</t>
  </si>
  <si>
    <t xml:space="preserve">P/E at 52-week high on mid-cycle EPS</t>
  </si>
  <si>
    <t xml:space="preserve">Evercore - Growth of Mid-Cycle Earnings and Value</t>
  </si>
  <si>
    <t xml:space="preserve">Value = present value of the distributable earnings of an AVERAGE year, growing at fee-pool growth plus fading share gains. Cash flows at year end; valuation as of the base year.</t>
  </si>
  <si>
    <t xml:space="preserve">Year index (t)</t>
  </si>
  <si>
    <t xml:space="preserve">Calendar year</t>
  </si>
  <si>
    <t xml:space="preserve">Fee-pool growth</t>
  </si>
  <si>
    <t xml:space="preserve">Share-gain contribution (fades to 0)</t>
  </si>
  <si>
    <t xml:space="preserve">Mid-cycle NI growth (g)</t>
  </si>
  <si>
    <t xml:space="preserve">Payout ratio = 1 - g / ROE</t>
  </si>
  <si>
    <t xml:space="preserve">Distributable earnings ($mm)</t>
  </si>
  <si>
    <t xml:space="preserve">Discount factor</t>
  </si>
  <si>
    <t xml:space="preserve">PV of distributions ($mm)</t>
  </si>
  <si>
    <t xml:space="preserve">Memo: mid-cycle EPS on today's shares ($)</t>
  </si>
  <si>
    <t xml:space="preserve">Valuation</t>
  </si>
  <si>
    <t xml:space="preserve">Sum of PV, years 1-10 ($mm)</t>
  </si>
  <si>
    <t xml:space="preserve">Terminal value at year 10 ($mm)</t>
  </si>
  <si>
    <t xml:space="preserve">PV of terminal value ($mm)</t>
  </si>
  <si>
    <t xml:space="preserve">Equity value ($mm)</t>
  </si>
  <si>
    <t xml:space="preserve">Value per share ($)</t>
  </si>
  <si>
    <t xml:space="preserve">Current price ($)</t>
  </si>
  <si>
    <t xml:space="preserve">Upside / (downside)</t>
  </si>
  <si>
    <t xml:space="preserve">Implied fair P/E on base-year mid-cycle EPS</t>
  </si>
  <si>
    <t xml:space="preserve">Terminal value share of equity value</t>
  </si>
  <si>
    <t xml:space="preserve">No net-cash adjustment: Evercore's cash largely funds accrued year-end bonuses, so it is treated as operating. Excess cash would add to value.</t>
  </si>
  <si>
    <t xml:space="preserve">Reverse test: what perpetual growth in mid-cycle earnings does today's price imply?</t>
  </si>
  <si>
    <t xml:space="preserve">Next-year mid-cycle EPS (E1)</t>
  </si>
  <si>
    <t xml:space="preserve">Implied perpetual g  [solves P = E1 (1 - g/ROE) / (r - g)]</t>
  </si>
  <si>
    <t xml:space="preserve">Compare with fee-pool growth input</t>
  </si>
  <si>
    <t xml:space="preserve">Sensitivity: single-stage value per share = E1 x (1 - g/ROE) / (r - g)</t>
  </si>
  <si>
    <t xml:space="preserve">Cost of equity (down) / perpetual g (across)</t>
  </si>
  <si>
    <t xml:space="preserve">Price ($) for comparison</t>
  </si>
  <si>
    <t xml:space="preserve">SOURCES</t>
  </si>
  <si>
    <t xml:space="preserve">GAAP history: SEC EDGAR XBRL companyfacts API, CIK 0001360901 (https://data.sec.gov/api/xbrl/companyfacts/CIK0001360901.json), 10-K full-year durations; latest filed value used where restated.</t>
  </si>
  <si>
    <t xml:space="preserve">Adjusted results: Evercore Q4 earnings releases (Exhibit 99.1 to 8-K, Item 2.02) filed 29-Jan-2020, 3-Feb-2021, 2-Feb-2022, 1-Feb-2023, 31-Jan-2024, 5-Feb-2025, 4-Feb-2026; H1 2026 from the Q2'26 release filed 29-Jul-2026.</t>
  </si>
  <si>
    <t xml:space="preserve">SMD counts: 10-K Item 1 (2012-2019) and earnings-release headcount footnotes (2020-2026). Definitions drift slightly ('Advisory' -&gt; 'Investment Banking'; company-adjusted for commits from 2020).</t>
  </si>
  <si>
    <t xml:space="preserve">User-provided (not independently re-checked): share price 268.08 (6-Oct-2026), 52-week high 388.71, 2027E consensus EPS 22.19, 10-year UST 5.28% and ~110bp YTD rise.</t>
  </si>
  <si>
    <t xml:space="preserve">KNOWN LIMITATIONS</t>
  </si>
  <si>
    <t xml:space="preserve">1. Trend line is sensitive to the window: 2009-2025 gives ~16%/yr growth (start-up phase), 2016-2025 ~9.5%, 2018-2025 ~8%. Default is 2016.</t>
  </si>
  <si>
    <t xml:space="preserve">2. Margin regression has only 8 observations (2018-2025), roughly one cycle. Treat the mid-cycle margin as +/- 2pp.</t>
  </si>
  <si>
    <t xml:space="preserve">3. Adjusted NI conversion includes Q1 share-vesting tax benefits, which scale with the share price (Q1'26: $94mm Adjusted). Lower prices shrink this benefit - a small reflexive effect not modelled.</t>
  </si>
  <si>
    <t xml:space="preserve">4. Revenue per SMD uses total firm revenue; Equities and Wealth Management are not driven by advisory SMDs.</t>
  </si>
  <si>
    <t xml:space="preserve">5. Pre-2018 adjusted figures are excluded (client-expense gross-up and the 2017 tax reform break comparability).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</si>
</sst>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0.0\x;\(0.0&quot;x)&quot;;\-"/>
    <numFmt numFmtId="168" formatCode="\$#,##0.0;&quot;($&quot;#,##0.0\);\-"/>
    <numFmt numFmtId="169" formatCode="#,##0.0;\(#,##0.0\);\-"/>
    <numFmt numFmtId="170" formatCode="0"/>
    <numFmt numFmtId="171" formatCode="#,##0;\(#,##0\);\-"/>
    <numFmt numFmtId="172" formatCode="0.00;\(0.00\);\-"/>
    <numFmt numFmtId="173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EPS: actual vs mid-cycle (trend method)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"Actual Adjusted EPS"</c:f>
              <c:strCache>
                <c:ptCount val="1"/>
                <c:pt idx="0">
                  <c:v>Actual Adjusted EPS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History!$K$4:$R$4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History!$K$18:$R$18</c:f>
              <c:numCache>
                <c:formatCode>\$#,##0.00;"($"#,##0.00\);\-</c:formatCode>
                <c:ptCount val="8"/>
                <c:pt idx="0">
                  <c:v>9.01</c:v>
                </c:pt>
                <c:pt idx="1">
                  <c:v>7.7</c:v>
                </c:pt>
                <c:pt idx="2">
                  <c:v>9.62</c:v>
                </c:pt>
                <c:pt idx="3">
                  <c:v>17.5</c:v>
                </c:pt>
                <c:pt idx="4">
                  <c:v>12.01</c:v>
                </c:pt>
                <c:pt idx="5">
                  <c:v>6.46</c:v>
                </c:pt>
                <c:pt idx="6">
                  <c:v>9.42</c:v>
                </c:pt>
                <c:pt idx="7">
                  <c:v>14.56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"Mid-cycle EPS"</c:f>
              <c:strCache>
                <c:ptCount val="1"/>
                <c:pt idx="0">
                  <c:v>Mid-cycle EPS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History!$K$4:$R$4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History!$K$32:$R$32</c:f>
              <c:numCache>
                <c:formatCode>\$#,##0.00;"($"#,##0.00\);\-</c:formatCode>
                <c:ptCount val="8"/>
                <c:pt idx="0">
                  <c:v>6.65040115160284</c:v>
                </c:pt>
                <c:pt idx="1">
                  <c:v>7.56580473981635</c:v>
                </c:pt>
                <c:pt idx="2">
                  <c:v>8.40351412510518</c:v>
                </c:pt>
                <c:pt idx="3">
                  <c:v>9.12046166135574</c:v>
                </c:pt>
                <c:pt idx="4">
                  <c:v>10.9266380515538</c:v>
                </c:pt>
                <c:pt idx="5">
                  <c:v>12.2830412777916</c:v>
                </c:pt>
                <c:pt idx="6">
                  <c:v>13.0558831881583</c:v>
                </c:pt>
                <c:pt idx="7">
                  <c:v>14.2105388386115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975478"/>
        <c:axId val="72637232"/>
      </c:lineChart>
      <c:catAx>
        <c:axId val="1097547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37232"/>
        <c:crosses val="autoZero"/>
        <c:auto val="1"/>
        <c:lblAlgn val="ctr"/>
        <c:lblOffset val="100"/>
        <c:noMultiLvlLbl val="0"/>
      </c:catAx>
      <c:valAx>
        <c:axId val="72637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75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vs trend line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History!$B$4:$R$4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History!$B$6:$R$6</c:f>
              <c:numCache>
                <c:formatCode>\$#,##0;"($"#,##0\);\-</c:formatCode>
                <c:ptCount val="17"/>
                <c:pt idx="0">
                  <c:v>312.417</c:v>
                </c:pt>
                <c:pt idx="1">
                  <c:v>375.905</c:v>
                </c:pt>
                <c:pt idx="2">
                  <c:v>524.264</c:v>
                </c:pt>
                <c:pt idx="3">
                  <c:v>642.373</c:v>
                </c:pt>
                <c:pt idx="4">
                  <c:v>765.428</c:v>
                </c:pt>
                <c:pt idx="5">
                  <c:v>915.858</c:v>
                </c:pt>
                <c:pt idx="6">
                  <c:v>1223.273</c:v>
                </c:pt>
                <c:pt idx="7">
                  <c:v>1440.052</c:v>
                </c:pt>
                <c:pt idx="8">
                  <c:v>1704.349</c:v>
                </c:pt>
                <c:pt idx="9">
                  <c:v>2064.705</c:v>
                </c:pt>
                <c:pt idx="10">
                  <c:v>2008.698</c:v>
                </c:pt>
                <c:pt idx="11">
                  <c:v>2263.905</c:v>
                </c:pt>
                <c:pt idx="12">
                  <c:v>3289.499</c:v>
                </c:pt>
                <c:pt idx="13">
                  <c:v>2762.048</c:v>
                </c:pt>
                <c:pt idx="14">
                  <c:v>2425.949</c:v>
                </c:pt>
                <c:pt idx="15">
                  <c:v>2979.593</c:v>
                </c:pt>
                <c:pt idx="16">
                  <c:v>3855.82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"Trend (window per Inputs)"</c:f>
              <c:strCache>
                <c:ptCount val="1"/>
                <c:pt idx="0">
                  <c:v>Trend (window per Inputs)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History!$B$4:$R$4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History!$B$29:$R$29</c:f>
              <c:numCache>
                <c:formatCode>\$#,##0;"($"#,##0\);\-</c:formatCode>
                <c:ptCount val="17"/>
                <c:pt idx="0">
                  <c:v>841.992587249085</c:v>
                </c:pt>
                <c:pt idx="1">
                  <c:v>921.619716050658</c:v>
                </c:pt>
                <c:pt idx="2">
                  <c:v>1008.7771720038</c:v>
                </c:pt>
                <c:pt idx="3">
                  <c:v>1104.1770971619</c:v>
                </c:pt>
                <c:pt idx="4">
                  <c:v>1208.5989807591</c:v>
                </c:pt>
                <c:pt idx="5">
                  <c:v>1322.89602822453</c:v>
                </c:pt>
                <c:pt idx="6">
                  <c:v>1448.00213251303</c:v>
                </c:pt>
                <c:pt idx="7">
                  <c:v>1584.93950471398</c:v>
                </c:pt>
                <c:pt idx="8">
                  <c:v>1734.82702628569</c:v>
                </c:pt>
                <c:pt idx="9">
                  <c:v>1898.88939115974</c:v>
                </c:pt>
                <c:pt idx="10">
                  <c:v>2078.46711241239</c:v>
                </c:pt>
                <c:pt idx="11">
                  <c:v>2275.0274752662</c:v>
                </c:pt>
                <c:pt idx="12">
                  <c:v>2490.1765259152</c:v>
                </c:pt>
                <c:pt idx="13">
                  <c:v>2725.67219413179</c:v>
                </c:pt>
                <c:pt idx="14">
                  <c:v>2983.43865687714</c:v>
                </c:pt>
                <c:pt idx="15">
                  <c:v>3265.58206027562</c:v>
                </c:pt>
                <c:pt idx="16">
                  <c:v>3574.40772841508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856946"/>
        <c:axId val="52263189"/>
      </c:lineChart>
      <c:catAx>
        <c:axId val="6785694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63189"/>
        <c:crosses val="autoZero"/>
        <c:auto val="1"/>
        <c:lblAlgn val="ctr"/>
        <c:lblOffset val="100"/>
        <c:noMultiLvlLbl val="0"/>
      </c:catAx>
      <c:valAx>
        <c:axId val="52263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56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2</xdr:col>
      <xdr:colOff>402840</xdr:colOff>
      <xdr:row>44</xdr:row>
      <xdr:rowOff>2880</xdr:rowOff>
    </xdr:to>
    <xdr:graphicFrame>
      <xdr:nvGraphicFramePr>
        <xdr:cNvPr id="0" name="Chart 1"/>
        <xdr:cNvGraphicFramePr/>
      </xdr:nvGraphicFramePr>
      <xdr:xfrm>
        <a:off x="0" y="5715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29</xdr:row>
      <xdr:rowOff>160560</xdr:rowOff>
    </xdr:from>
    <xdr:to>
      <xdr:col>2</xdr:col>
      <xdr:colOff>5759640</xdr:colOff>
      <xdr:row>44</xdr:row>
      <xdr:rowOff>2880</xdr:rowOff>
    </xdr:to>
    <xdr:graphicFrame>
      <xdr:nvGraphicFramePr>
        <xdr:cNvPr id="1" name="Chart 2"/>
        <xdr:cNvGraphicFramePr/>
      </xdr:nvGraphicFramePr>
      <xdr:xfrm>
        <a:off x="5356800" y="5715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MidCycle!C29</f>
        <v>15.0853872647405</v>
      </c>
      <c r="C5" s="2" t="s">
        <v>4</v>
      </c>
    </row>
    <row r="6" customFormat="false" ht="15" hidden="false" customHeight="false" outlineLevel="0" collapsed="false">
      <c r="A6" s="5" t="s">
        <v>5</v>
      </c>
      <c r="B6" s="7" t="n">
        <f aca="false">MidCycle!C30</f>
        <v>15.6687434528302</v>
      </c>
    </row>
    <row r="7" customFormat="false" ht="15" hidden="false" customHeight="false" outlineLevel="0" collapsed="false">
      <c r="A7" s="5" t="s">
        <v>6</v>
      </c>
      <c r="B7" s="7" t="n">
        <f aca="false">MidCycle!C31</f>
        <v>14.5020310766507</v>
      </c>
    </row>
    <row r="8" customFormat="false" ht="15" hidden="false" customHeight="false" outlineLevel="0" collapsed="false">
      <c r="A8" s="5" t="s">
        <v>7</v>
      </c>
      <c r="B8" s="8" t="n">
        <f aca="false">MidCycle!C22</f>
        <v>0.237536278708766</v>
      </c>
      <c r="C8" s="2" t="s">
        <v>8</v>
      </c>
    </row>
    <row r="9" customFormat="false" ht="15" hidden="false" customHeight="false" outlineLevel="0" collapsed="false">
      <c r="A9" s="5" t="s">
        <v>9</v>
      </c>
      <c r="B9" s="7" t="n">
        <f aca="false">MidCycle!C34</f>
        <v>16.216791309596</v>
      </c>
    </row>
    <row r="10" customFormat="false" ht="15" hidden="false" customHeight="false" outlineLevel="0" collapsed="false">
      <c r="A10" s="5" t="s">
        <v>10</v>
      </c>
      <c r="B10" s="7" t="n">
        <f aca="false">Inputs!$B$7</f>
        <v>22.19</v>
      </c>
    </row>
    <row r="11" customFormat="false" ht="15" hidden="false" customHeight="false" outlineLevel="0" collapsed="false">
      <c r="A11" s="5" t="s">
        <v>11</v>
      </c>
      <c r="B11" s="8" t="n">
        <f aca="false">MidCycle!C36</f>
        <v>0.368334806582204</v>
      </c>
      <c r="C11" s="2" t="s">
        <v>12</v>
      </c>
    </row>
    <row r="13" customFormat="false" ht="15" hidden="false" customHeight="false" outlineLevel="0" collapsed="false">
      <c r="A13" s="3" t="s">
        <v>13</v>
      </c>
      <c r="B13" s="4"/>
      <c r="C13" s="4"/>
    </row>
    <row r="14" customFormat="false" ht="15" hidden="false" customHeight="false" outlineLevel="0" collapsed="false">
      <c r="A14" s="5" t="s">
        <v>14</v>
      </c>
      <c r="B14" s="9" t="n">
        <f aca="false">MidCycle!C37</f>
        <v>12.0811176205498</v>
      </c>
      <c r="C14" s="2" t="s">
        <v>15</v>
      </c>
    </row>
    <row r="15" customFormat="false" ht="15" hidden="false" customHeight="false" outlineLevel="0" collapsed="false">
      <c r="A15" s="5" t="s">
        <v>16</v>
      </c>
      <c r="B15" s="10" t="n">
        <f aca="false">MidCycle!C38</f>
        <v>16.5310137426119</v>
      </c>
      <c r="C15" s="2" t="s">
        <v>17</v>
      </c>
    </row>
    <row r="16" customFormat="false" ht="15" hidden="false" customHeight="false" outlineLevel="0" collapsed="false">
      <c r="A16" s="5" t="s">
        <v>18</v>
      </c>
      <c r="B16" s="9" t="n">
        <f aca="false">MidCycle!C39</f>
        <v>23.9695999399085</v>
      </c>
      <c r="C16" s="2" t="s">
        <v>19</v>
      </c>
    </row>
    <row r="17" customFormat="false" ht="15" hidden="false" customHeight="false" outlineLevel="0" collapsed="false">
      <c r="A17" s="5" t="s">
        <v>20</v>
      </c>
      <c r="B17" s="9" t="n">
        <f aca="false">Value!B24</f>
        <v>12.1462736678291</v>
      </c>
    </row>
    <row r="19" customFormat="false" ht="15" hidden="false" customHeight="false" outlineLevel="0" collapsed="false">
      <c r="A19" s="3" t="s">
        <v>21</v>
      </c>
      <c r="B19" s="4"/>
      <c r="C19" s="4"/>
    </row>
    <row r="20" customFormat="false" ht="15" hidden="false" customHeight="false" outlineLevel="0" collapsed="false">
      <c r="A20" s="5" t="s">
        <v>22</v>
      </c>
      <c r="B20" s="11" t="n">
        <f aca="false">Value!B21</f>
        <v>183.231242102722</v>
      </c>
    </row>
    <row r="21" customFormat="false" ht="15" hidden="false" customHeight="false" outlineLevel="0" collapsed="false">
      <c r="A21" s="5" t="s">
        <v>23</v>
      </c>
      <c r="B21" s="8" t="n">
        <f aca="false">Value!B23</f>
        <v>-0.316505363687252</v>
      </c>
    </row>
    <row r="22" customFormat="false" ht="15" hidden="false" customHeight="false" outlineLevel="0" collapsed="false">
      <c r="A22" s="5" t="s">
        <v>24</v>
      </c>
      <c r="B22" s="12" t="n">
        <f aca="false">Value!B30</f>
        <v>0.0780446605502431</v>
      </c>
      <c r="C22" s="2" t="s">
        <v>25</v>
      </c>
    </row>
    <row r="24" customFormat="false" ht="15" hidden="false" customHeight="false" outlineLevel="0" collapsed="false">
      <c r="A24" s="3" t="s">
        <v>26</v>
      </c>
      <c r="B24" s="4"/>
      <c r="C24" s="4"/>
    </row>
    <row r="25" customFormat="false" ht="15" hidden="false" customHeight="false" outlineLevel="0" collapsed="false">
      <c r="A25" s="5" t="s">
        <v>27</v>
      </c>
      <c r="B25" s="9" t="n">
        <f aca="false">(1-Inputs!$B$28/Inputs!$B$29)/(Inputs!$B$35-Inputs!$B$28)</f>
        <v>10.4669887278583</v>
      </c>
      <c r="C25" s="2" t="s">
        <v>28</v>
      </c>
    </row>
    <row r="26" customFormat="false" ht="15" hidden="false" customHeight="false" outlineLevel="0" collapsed="false">
      <c r="A26" s="5" t="s">
        <v>29</v>
      </c>
      <c r="B26" s="9" t="n">
        <f aca="false">(1-Inputs!$B$28/Inputs!$B$29)/(Inputs!$B$35-Inputs!$B$36-Inputs!$B$28)</f>
        <v>12.0705663881151</v>
      </c>
    </row>
    <row r="27" customFormat="false" ht="15" hidden="false" customHeight="false" outlineLevel="0" collapsed="false">
      <c r="A27" s="5" t="s">
        <v>30</v>
      </c>
      <c r="B27" s="13" t="n">
        <f aca="false">B25/B26-1</f>
        <v>-0.132850241545894</v>
      </c>
      <c r="C27" s="2" t="s">
        <v>31</v>
      </c>
    </row>
    <row r="28" customFormat="false" ht="15" hidden="false" customHeight="false" outlineLevel="0" collapsed="false">
      <c r="A28" s="5" t="s">
        <v>32</v>
      </c>
      <c r="B28" s="8" t="n">
        <f aca="false">Inputs!$B$5/Inputs!$B$6-1</f>
        <v>-0.310334182295284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9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4"/>
      <c r="C4" s="4"/>
    </row>
    <row r="5" customFormat="false" ht="15" hidden="false" customHeight="false" outlineLevel="0" collapsed="false">
      <c r="A5" s="5" t="s">
        <v>36</v>
      </c>
      <c r="B5" s="14" t="n">
        <v>268.08</v>
      </c>
      <c r="C5" s="2" t="s">
        <v>37</v>
      </c>
    </row>
    <row r="6" customFormat="false" ht="15" hidden="false" customHeight="false" outlineLevel="0" collapsed="false">
      <c r="A6" s="5" t="s">
        <v>38</v>
      </c>
      <c r="B6" s="14" t="n">
        <v>388.71</v>
      </c>
      <c r="C6" s="2" t="s">
        <v>39</v>
      </c>
    </row>
    <row r="7" customFormat="false" ht="15" hidden="false" customHeight="false" outlineLevel="0" collapsed="false">
      <c r="A7" s="5" t="s">
        <v>40</v>
      </c>
      <c r="B7" s="14" t="n">
        <v>22.19</v>
      </c>
      <c r="C7" s="2" t="s">
        <v>41</v>
      </c>
    </row>
    <row r="8" customFormat="false" ht="15" hidden="false" customHeight="false" outlineLevel="0" collapsed="false">
      <c r="A8" s="5" t="s">
        <v>42</v>
      </c>
      <c r="B8" s="15" t="n">
        <v>461.8</v>
      </c>
      <c r="C8" s="2" t="s">
        <v>43</v>
      </c>
    </row>
    <row r="9" customFormat="false" ht="15" hidden="false" customHeight="false" outlineLevel="0" collapsed="false">
      <c r="A9" s="5" t="s">
        <v>44</v>
      </c>
      <c r="B9" s="14" t="n">
        <v>10.48</v>
      </c>
      <c r="C9" s="2" t="s">
        <v>43</v>
      </c>
    </row>
    <row r="10" customFormat="false" ht="15" hidden="false" customHeight="false" outlineLevel="0" collapsed="false">
      <c r="A10" s="16" t="s">
        <v>45</v>
      </c>
      <c r="B10" s="17" t="n">
        <f aca="false">B8/B9</f>
        <v>44.0648854961832</v>
      </c>
      <c r="C10" s="2" t="s">
        <v>46</v>
      </c>
    </row>
    <row r="12" customFormat="false" ht="15" hidden="false" customHeight="false" outlineLevel="0" collapsed="false">
      <c r="A12" s="3" t="s">
        <v>47</v>
      </c>
      <c r="B12" s="4"/>
      <c r="C12" s="4"/>
    </row>
    <row r="13" customFormat="false" ht="15" hidden="false" customHeight="false" outlineLevel="0" collapsed="false">
      <c r="A13" s="5" t="s">
        <v>48</v>
      </c>
      <c r="B13" s="18" t="n">
        <v>2016</v>
      </c>
      <c r="C13" s="2" t="s">
        <v>49</v>
      </c>
    </row>
    <row r="14" customFormat="false" ht="15" hidden="false" customHeight="false" outlineLevel="0" collapsed="false">
      <c r="A14" s="5" t="s">
        <v>50</v>
      </c>
      <c r="B14" s="19" t="n">
        <v>2025</v>
      </c>
      <c r="C14" s="2" t="s">
        <v>51</v>
      </c>
    </row>
    <row r="15" customFormat="false" ht="15" hidden="false" customHeight="false" outlineLevel="0" collapsed="false">
      <c r="A15" s="5" t="s">
        <v>52</v>
      </c>
      <c r="B15" s="19" t="n">
        <v>2026</v>
      </c>
      <c r="C15" s="2" t="s">
        <v>53</v>
      </c>
    </row>
    <row r="17" customFormat="false" ht="15" hidden="false" customHeight="false" outlineLevel="0" collapsed="false">
      <c r="A17" s="3" t="s">
        <v>54</v>
      </c>
      <c r="B17" s="4"/>
      <c r="C17" s="4"/>
    </row>
    <row r="18" customFormat="false" ht="15" hidden="false" customHeight="false" outlineLevel="0" collapsed="false">
      <c r="A18" s="5" t="s">
        <v>55</v>
      </c>
      <c r="B18" s="20" t="n">
        <v>188</v>
      </c>
      <c r="C18" s="2" t="s">
        <v>56</v>
      </c>
    </row>
    <row r="19" customFormat="false" ht="15" hidden="false" customHeight="false" outlineLevel="0" collapsed="false">
      <c r="A19" s="5" t="s">
        <v>57</v>
      </c>
      <c r="B19" s="20" t="n">
        <v>159</v>
      </c>
      <c r="C19" s="2" t="s">
        <v>58</v>
      </c>
    </row>
    <row r="20" customFormat="false" ht="15" hidden="false" customHeight="false" outlineLevel="0" collapsed="false">
      <c r="A20" s="5" t="s">
        <v>59</v>
      </c>
      <c r="B20" s="21" t="n">
        <v>0.5</v>
      </c>
      <c r="C20" s="2" t="s">
        <v>60</v>
      </c>
    </row>
    <row r="22" customFormat="false" ht="15" hidden="false" customHeight="false" outlineLevel="0" collapsed="false">
      <c r="A22" s="3" t="s">
        <v>61</v>
      </c>
      <c r="B22" s="4"/>
      <c r="C22" s="4"/>
    </row>
    <row r="23" customFormat="false" ht="15" hidden="false" customHeight="false" outlineLevel="0" collapsed="false">
      <c r="A23" s="5" t="s">
        <v>62</v>
      </c>
      <c r="B23" s="21" t="n">
        <v>0.5</v>
      </c>
      <c r="C23" s="2" t="s">
        <v>63</v>
      </c>
    </row>
    <row r="25" customFormat="false" ht="15" hidden="false" customHeight="false" outlineLevel="0" collapsed="false">
      <c r="A25" s="3" t="s">
        <v>64</v>
      </c>
      <c r="B25" s="4"/>
      <c r="C25" s="4"/>
    </row>
    <row r="26" customFormat="false" ht="15" hidden="false" customHeight="false" outlineLevel="0" collapsed="false">
      <c r="A26" s="5" t="s">
        <v>65</v>
      </c>
      <c r="B26" s="21" t="n">
        <v>0.045</v>
      </c>
      <c r="C26" s="2" t="s">
        <v>66</v>
      </c>
    </row>
    <row r="27" customFormat="false" ht="15" hidden="false" customHeight="false" outlineLevel="0" collapsed="false">
      <c r="A27" s="5" t="s">
        <v>67</v>
      </c>
      <c r="B27" s="21" t="n">
        <v>0.03</v>
      </c>
      <c r="C27" s="2" t="s">
        <v>68</v>
      </c>
    </row>
    <row r="28" customFormat="false" ht="15" hidden="false" customHeight="false" outlineLevel="0" collapsed="false">
      <c r="A28" s="5" t="s">
        <v>69</v>
      </c>
      <c r="B28" s="21" t="n">
        <v>0.04</v>
      </c>
      <c r="C28" s="2" t="s">
        <v>70</v>
      </c>
    </row>
    <row r="29" customFormat="false" ht="15" hidden="false" customHeight="false" outlineLevel="0" collapsed="false">
      <c r="A29" s="5" t="s">
        <v>71</v>
      </c>
      <c r="B29" s="22" t="n">
        <v>0.3</v>
      </c>
      <c r="C29" s="2" t="s">
        <v>72</v>
      </c>
    </row>
    <row r="31" customFormat="false" ht="15" hidden="false" customHeight="false" outlineLevel="0" collapsed="false">
      <c r="A31" s="3" t="s">
        <v>73</v>
      </c>
      <c r="B31" s="4"/>
      <c r="C31" s="4"/>
    </row>
    <row r="32" customFormat="false" ht="15" hidden="false" customHeight="false" outlineLevel="0" collapsed="false">
      <c r="A32" s="5" t="s">
        <v>74</v>
      </c>
      <c r="B32" s="22" t="n">
        <v>0.0528</v>
      </c>
      <c r="C32" s="2" t="s">
        <v>75</v>
      </c>
    </row>
    <row r="33" customFormat="false" ht="15" hidden="false" customHeight="false" outlineLevel="0" collapsed="false">
      <c r="A33" s="5" t="s">
        <v>76</v>
      </c>
      <c r="B33" s="23" t="n">
        <v>1.4</v>
      </c>
      <c r="C33" s="2" t="s">
        <v>77</v>
      </c>
    </row>
    <row r="34" customFormat="false" ht="15" hidden="false" customHeight="false" outlineLevel="0" collapsed="false">
      <c r="A34" s="5" t="s">
        <v>78</v>
      </c>
      <c r="B34" s="22" t="n">
        <v>0.05</v>
      </c>
      <c r="C34" s="2" t="s">
        <v>79</v>
      </c>
    </row>
    <row r="35" customFormat="false" ht="15" hidden="false" customHeight="false" outlineLevel="0" collapsed="false">
      <c r="A35" s="16" t="s">
        <v>80</v>
      </c>
      <c r="B35" s="24" t="n">
        <f aca="false">B32+B33*B34</f>
        <v>0.1228</v>
      </c>
    </row>
    <row r="36" customFormat="false" ht="15" hidden="false" customHeight="false" outlineLevel="0" collapsed="false">
      <c r="A36" s="5" t="s">
        <v>81</v>
      </c>
      <c r="B36" s="22" t="n">
        <v>0.011</v>
      </c>
      <c r="C36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9" min="2" style="0" width="1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25" t="s">
        <v>85</v>
      </c>
      <c r="B4" s="26" t="n">
        <v>2009</v>
      </c>
      <c r="C4" s="26" t="n">
        <v>2010</v>
      </c>
      <c r="D4" s="26" t="n">
        <v>2011</v>
      </c>
      <c r="E4" s="26" t="n">
        <v>2012</v>
      </c>
      <c r="F4" s="26" t="n">
        <v>2013</v>
      </c>
      <c r="G4" s="26" t="n">
        <v>2014</v>
      </c>
      <c r="H4" s="26" t="n">
        <v>2015</v>
      </c>
      <c r="I4" s="26" t="n">
        <v>2016</v>
      </c>
      <c r="J4" s="26" t="n">
        <v>2017</v>
      </c>
      <c r="K4" s="26" t="n">
        <v>2018</v>
      </c>
      <c r="L4" s="26" t="n">
        <v>2019</v>
      </c>
      <c r="M4" s="26" t="n">
        <v>2020</v>
      </c>
      <c r="N4" s="26" t="n">
        <v>2021</v>
      </c>
      <c r="O4" s="26" t="n">
        <v>2022</v>
      </c>
      <c r="P4" s="26" t="n">
        <v>2023</v>
      </c>
      <c r="Q4" s="26" t="n">
        <v>2024</v>
      </c>
      <c r="R4" s="26" t="n">
        <v>2025</v>
      </c>
    </row>
    <row r="5" customFormat="false" ht="15" hidden="false" customHeight="false" outlineLevel="0" collapsed="false">
      <c r="A5" s="3" t="s">
        <v>86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5" hidden="false" customHeight="false" outlineLevel="0" collapsed="false">
      <c r="A6" s="16" t="s">
        <v>87</v>
      </c>
      <c r="B6" s="27" t="n">
        <v>312.417</v>
      </c>
      <c r="C6" s="27" t="n">
        <v>375.905</v>
      </c>
      <c r="D6" s="27" t="n">
        <v>524.264</v>
      </c>
      <c r="E6" s="27" t="n">
        <v>642.373</v>
      </c>
      <c r="F6" s="27" t="n">
        <v>765.428</v>
      </c>
      <c r="G6" s="27" t="n">
        <v>915.858</v>
      </c>
      <c r="H6" s="27" t="n">
        <v>1223.273</v>
      </c>
      <c r="I6" s="27" t="n">
        <v>1440.052</v>
      </c>
      <c r="J6" s="27" t="n">
        <v>1704.349</v>
      </c>
      <c r="K6" s="27" t="n">
        <v>2064.705</v>
      </c>
      <c r="L6" s="27" t="n">
        <v>2008.698</v>
      </c>
      <c r="M6" s="27" t="n">
        <v>2263.905</v>
      </c>
      <c r="N6" s="27" t="n">
        <v>3289.499</v>
      </c>
      <c r="O6" s="27" t="n">
        <v>2762.048</v>
      </c>
      <c r="P6" s="27" t="n">
        <v>2425.949</v>
      </c>
      <c r="Q6" s="27" t="n">
        <v>2979.593</v>
      </c>
      <c r="R6" s="27" t="n">
        <v>3855.82</v>
      </c>
    </row>
    <row r="7" customFormat="false" ht="15" hidden="false" customHeight="false" outlineLevel="0" collapsed="false">
      <c r="A7" s="5" t="s">
        <v>88</v>
      </c>
      <c r="B7" s="27" t="n">
        <v>207.592</v>
      </c>
      <c r="C7" s="27" t="n">
        <v>247.737</v>
      </c>
      <c r="D7" s="27" t="n">
        <v>357.68</v>
      </c>
      <c r="E7" s="27" t="n">
        <v>430.415</v>
      </c>
      <c r="F7" s="27" t="n">
        <v>485.794</v>
      </c>
      <c r="G7" s="27" t="n">
        <v>549.516</v>
      </c>
      <c r="H7" s="27" t="n">
        <v>788.175</v>
      </c>
      <c r="I7" s="27" t="n">
        <v>900.59</v>
      </c>
      <c r="J7" s="27" t="n">
        <v>962.512</v>
      </c>
      <c r="K7" s="27" t="n">
        <v>1197.173</v>
      </c>
      <c r="L7" s="27" t="n">
        <v>1200.977</v>
      </c>
      <c r="M7" s="27" t="n">
        <v>1372.339</v>
      </c>
      <c r="N7" s="27" t="n">
        <v>1848.757</v>
      </c>
      <c r="O7" s="27" t="n">
        <v>1697.519</v>
      </c>
      <c r="P7" s="27" t="n">
        <v>1656.875</v>
      </c>
      <c r="Q7" s="27" t="n">
        <v>1974.036</v>
      </c>
      <c r="R7" s="27" t="n">
        <v>2500.834</v>
      </c>
    </row>
    <row r="8" customFormat="false" ht="15" hidden="false" customHeight="false" outlineLevel="0" collapsed="false">
      <c r="A8" s="5" t="s">
        <v>89</v>
      </c>
      <c r="B8" s="27" t="n">
        <v>288.969</v>
      </c>
      <c r="C8" s="27" t="n">
        <v>339.045</v>
      </c>
      <c r="D8" s="27" t="n">
        <v>488.452</v>
      </c>
      <c r="E8" s="27" t="n">
        <v>576.838</v>
      </c>
      <c r="F8" s="27" t="n">
        <v>635.253</v>
      </c>
      <c r="G8" s="27" t="n">
        <v>744.911</v>
      </c>
      <c r="H8" s="27" t="n">
        <v>1094.603</v>
      </c>
      <c r="I8" s="27" t="n">
        <v>1178.878</v>
      </c>
      <c r="J8" s="27" t="n">
        <v>1275.538</v>
      </c>
      <c r="K8" s="27" t="n">
        <v>1522.628</v>
      </c>
      <c r="L8" s="27" t="n">
        <v>1570.987</v>
      </c>
      <c r="M8" s="27" t="n">
        <v>1737.472</v>
      </c>
      <c r="N8" s="27" t="n">
        <v>2187.061</v>
      </c>
      <c r="O8" s="27" t="n">
        <v>2066.006</v>
      </c>
      <c r="P8" s="27" t="n">
        <v>2066.814</v>
      </c>
      <c r="Q8" s="27" t="n">
        <v>2452.679</v>
      </c>
      <c r="R8" s="27" t="n">
        <v>3065.878</v>
      </c>
    </row>
    <row r="9" customFormat="false" ht="15" hidden="false" customHeight="false" outlineLevel="0" collapsed="false">
      <c r="A9" s="5" t="s">
        <v>90</v>
      </c>
      <c r="B9" s="27" t="n">
        <v>22.042</v>
      </c>
      <c r="C9" s="27" t="n">
        <v>36.303</v>
      </c>
      <c r="D9" s="27" t="n">
        <v>36.731</v>
      </c>
      <c r="E9" s="27" t="n">
        <v>70.387</v>
      </c>
      <c r="F9" s="27" t="n">
        <v>138.501</v>
      </c>
      <c r="G9" s="27" t="n">
        <v>176.127</v>
      </c>
      <c r="H9" s="27" t="n">
        <v>134.72</v>
      </c>
      <c r="I9" s="27" t="n">
        <v>267.815</v>
      </c>
      <c r="J9" s="27" t="n">
        <v>437.649</v>
      </c>
      <c r="K9" s="27" t="n">
        <v>551.371</v>
      </c>
      <c r="L9" s="27" t="n">
        <v>448.707</v>
      </c>
      <c r="M9" s="27" t="n">
        <v>540.831</v>
      </c>
      <c r="N9" s="27" t="n">
        <v>1116.599</v>
      </c>
      <c r="O9" s="27" t="n">
        <v>704.041</v>
      </c>
      <c r="P9" s="27" t="n">
        <v>365.79</v>
      </c>
      <c r="Q9" s="27" t="n">
        <v>533.145</v>
      </c>
      <c r="R9" s="27" t="n">
        <v>793.814</v>
      </c>
    </row>
    <row r="10" customFormat="false" ht="15" hidden="false" customHeight="false" outlineLevel="0" collapsed="false">
      <c r="A10" s="5" t="s">
        <v>91</v>
      </c>
      <c r="B10" s="27" t="n">
        <v>-1.57</v>
      </c>
      <c r="C10" s="27" t="n">
        <v>8.954</v>
      </c>
      <c r="D10" s="27" t="n">
        <v>6.952</v>
      </c>
      <c r="E10" s="27" t="n">
        <v>28.889</v>
      </c>
      <c r="F10" s="27" t="n">
        <v>53.262</v>
      </c>
      <c r="G10" s="27" t="n">
        <v>86.874</v>
      </c>
      <c r="H10" s="27" t="n">
        <v>42.863</v>
      </c>
      <c r="I10" s="27" t="n">
        <v>107.528</v>
      </c>
      <c r="J10" s="27" t="n">
        <v>125.454</v>
      </c>
      <c r="K10" s="27" t="n">
        <v>377.24</v>
      </c>
      <c r="L10" s="27" t="n">
        <v>297.436</v>
      </c>
      <c r="M10" s="27" t="n">
        <v>350.574</v>
      </c>
      <c r="N10" s="27" t="n">
        <v>740.116</v>
      </c>
      <c r="O10" s="27" t="n">
        <v>476.52</v>
      </c>
      <c r="P10" s="27" t="n">
        <v>255.479</v>
      </c>
      <c r="Q10" s="27" t="n">
        <v>378.279</v>
      </c>
      <c r="R10" s="27" t="n">
        <v>591.922</v>
      </c>
    </row>
    <row r="11" customFormat="false" ht="15" hidden="false" customHeight="false" outlineLevel="0" collapsed="false">
      <c r="A11" s="5" t="s">
        <v>92</v>
      </c>
      <c r="B11" s="14" t="n">
        <v>-0.1</v>
      </c>
      <c r="C11" s="14" t="n">
        <v>0.39</v>
      </c>
      <c r="D11" s="14" t="n">
        <v>0.23</v>
      </c>
      <c r="E11" s="14" t="n">
        <v>0.89</v>
      </c>
      <c r="F11" s="14" t="n">
        <v>1.38</v>
      </c>
      <c r="G11" s="14" t="n">
        <v>2.08</v>
      </c>
      <c r="H11" s="14" t="n">
        <v>0.98</v>
      </c>
      <c r="I11" s="14" t="n">
        <v>2.43</v>
      </c>
      <c r="J11" s="14" t="n">
        <v>2.8</v>
      </c>
      <c r="K11" s="14" t="n">
        <v>8.33</v>
      </c>
      <c r="L11" s="14" t="n">
        <v>6.89</v>
      </c>
      <c r="M11" s="14" t="n">
        <v>8.22</v>
      </c>
      <c r="N11" s="14" t="n">
        <v>17.08</v>
      </c>
      <c r="O11" s="14" t="n">
        <v>11.61</v>
      </c>
      <c r="P11" s="14" t="n">
        <v>6.37</v>
      </c>
      <c r="Q11" s="14" t="n">
        <v>9.08</v>
      </c>
      <c r="R11" s="14" t="n">
        <v>14.05</v>
      </c>
    </row>
    <row r="12" customFormat="false" ht="15" hidden="false" customHeight="false" outlineLevel="0" collapsed="false">
      <c r="A12" s="5" t="s">
        <v>93</v>
      </c>
      <c r="B12" s="28" t="n">
        <v>15.545</v>
      </c>
      <c r="C12" s="28" t="n">
        <v>22.968</v>
      </c>
      <c r="D12" s="28" t="n">
        <v>29.397</v>
      </c>
      <c r="E12" s="28" t="n">
        <v>32.548</v>
      </c>
      <c r="F12" s="28" t="n">
        <v>38.481</v>
      </c>
      <c r="G12" s="28" t="n">
        <v>41.843</v>
      </c>
      <c r="H12" s="28" t="n">
        <v>43.699</v>
      </c>
      <c r="I12" s="28" t="n">
        <v>44.193</v>
      </c>
      <c r="J12" s="28" t="n">
        <v>44.826</v>
      </c>
      <c r="K12" s="28" t="n">
        <v>45.279</v>
      </c>
      <c r="L12" s="28" t="n">
        <v>43.194</v>
      </c>
      <c r="M12" s="28" t="n">
        <v>42.623</v>
      </c>
      <c r="N12" s="28" t="n">
        <v>43.321</v>
      </c>
      <c r="O12" s="28" t="n">
        <v>41.037</v>
      </c>
      <c r="P12" s="28" t="n">
        <v>40.099</v>
      </c>
      <c r="Q12" s="28" t="n">
        <v>41.646</v>
      </c>
      <c r="R12" s="28" t="n">
        <v>42.131</v>
      </c>
    </row>
    <row r="14" customFormat="false" ht="15" hidden="false" customHeight="false" outlineLevel="0" collapsed="false">
      <c r="A14" s="3" t="s">
        <v>94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5" hidden="false" customHeight="false" outlineLevel="0" collapsed="false">
      <c r="A15" s="5" t="s">
        <v>95</v>
      </c>
      <c r="K15" s="27" t="n">
        <v>2083.2</v>
      </c>
      <c r="L15" s="27" t="n">
        <v>2032.6</v>
      </c>
      <c r="M15" s="27" t="n">
        <v>2327.3</v>
      </c>
      <c r="N15" s="27" t="n">
        <v>3316.9</v>
      </c>
      <c r="O15" s="27" t="n">
        <v>2785.6</v>
      </c>
      <c r="P15" s="27" t="n">
        <v>2449.3</v>
      </c>
      <c r="Q15" s="27" t="n">
        <v>3002.6</v>
      </c>
      <c r="R15" s="27" t="n">
        <v>3884</v>
      </c>
    </row>
    <row r="16" customFormat="false" ht="15" hidden="false" customHeight="false" outlineLevel="0" collapsed="false">
      <c r="A16" s="5" t="s">
        <v>96</v>
      </c>
      <c r="K16" s="27" t="n">
        <v>591</v>
      </c>
      <c r="L16" s="27" t="n">
        <v>498.5</v>
      </c>
      <c r="M16" s="27" t="n">
        <v>639.3</v>
      </c>
      <c r="N16" s="27" t="n">
        <v>1138.4</v>
      </c>
      <c r="O16" s="27" t="n">
        <v>722.7</v>
      </c>
      <c r="P16" s="27" t="n">
        <v>385.4</v>
      </c>
      <c r="Q16" s="27" t="n">
        <v>557.3</v>
      </c>
      <c r="R16" s="27" t="n">
        <v>838.6</v>
      </c>
    </row>
    <row r="17" customFormat="false" ht="15" hidden="false" customHeight="false" outlineLevel="0" collapsed="false">
      <c r="A17" s="5" t="s">
        <v>97</v>
      </c>
      <c r="K17" s="27" t="n">
        <v>454</v>
      </c>
      <c r="L17" s="27" t="n">
        <v>373.3</v>
      </c>
      <c r="M17" s="27" t="n">
        <v>459.6</v>
      </c>
      <c r="N17" s="27" t="n">
        <v>843.2</v>
      </c>
      <c r="O17" s="27" t="n">
        <v>528.7</v>
      </c>
      <c r="P17" s="27" t="n">
        <v>276.9</v>
      </c>
      <c r="Q17" s="27" t="n">
        <v>415.8</v>
      </c>
      <c r="R17" s="27" t="n">
        <v>646.3</v>
      </c>
    </row>
    <row r="18" customFormat="false" ht="15" hidden="false" customHeight="false" outlineLevel="0" collapsed="false">
      <c r="A18" s="5" t="s">
        <v>98</v>
      </c>
      <c r="K18" s="14" t="n">
        <v>9.01</v>
      </c>
      <c r="L18" s="14" t="n">
        <v>7.7</v>
      </c>
      <c r="M18" s="14" t="n">
        <v>9.62</v>
      </c>
      <c r="N18" s="14" t="n">
        <v>17.5</v>
      </c>
      <c r="O18" s="14" t="n">
        <v>12.01</v>
      </c>
      <c r="P18" s="14" t="n">
        <v>6.46</v>
      </c>
      <c r="Q18" s="14" t="n">
        <v>9.42</v>
      </c>
      <c r="R18" s="14" t="n">
        <v>14.56</v>
      </c>
    </row>
    <row r="19" customFormat="false" ht="15" hidden="false" customHeight="false" outlineLevel="0" collapsed="false">
      <c r="A19" s="5" t="s">
        <v>99</v>
      </c>
      <c r="E19" s="20" t="n">
        <v>60</v>
      </c>
      <c r="F19" s="20" t="n">
        <v>67</v>
      </c>
      <c r="G19" s="20" t="n">
        <v>68</v>
      </c>
      <c r="H19" s="20" t="n">
        <v>79</v>
      </c>
      <c r="I19" s="20" t="n">
        <v>81</v>
      </c>
      <c r="J19" s="20" t="n">
        <v>87</v>
      </c>
      <c r="K19" s="20" t="n">
        <v>98</v>
      </c>
      <c r="L19" s="20" t="n">
        <v>112</v>
      </c>
      <c r="M19" s="20" t="n">
        <v>107</v>
      </c>
      <c r="N19" s="20" t="n">
        <v>114</v>
      </c>
      <c r="O19" s="20" t="n">
        <v>130</v>
      </c>
      <c r="P19" s="20" t="n">
        <v>136</v>
      </c>
      <c r="Q19" s="20" t="n">
        <v>144</v>
      </c>
      <c r="R19" s="20" t="n">
        <v>171</v>
      </c>
    </row>
    <row r="21" customFormat="false" ht="15" hidden="false" customHeight="false" outlineLevel="0" collapsed="false">
      <c r="A21" s="3" t="s">
        <v>100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5" hidden="false" customHeight="false" outlineLevel="0" collapsed="false">
      <c r="A22" s="5" t="s">
        <v>101</v>
      </c>
      <c r="B22" s="13" t="n">
        <f aca="false">B7/B6</f>
        <v>0.664470883466649</v>
      </c>
      <c r="C22" s="13" t="n">
        <f aca="false">C7/C6</f>
        <v>0.659041513148269</v>
      </c>
      <c r="D22" s="13" t="n">
        <f aca="false">D7/D6</f>
        <v>0.68225168998825</v>
      </c>
      <c r="E22" s="13" t="n">
        <f aca="false">E7/E6</f>
        <v>0.670039058304132</v>
      </c>
      <c r="F22" s="13" t="n">
        <f aca="false">F7/F6</f>
        <v>0.634669753392873</v>
      </c>
      <c r="G22" s="13" t="n">
        <f aca="false">G7/G6</f>
        <v>0.600001310246785</v>
      </c>
      <c r="H22" s="13" t="n">
        <f aca="false">H7/H6</f>
        <v>0.644316518062608</v>
      </c>
      <c r="I22" s="13" t="n">
        <f aca="false">I7/I6</f>
        <v>0.625387138797766</v>
      </c>
      <c r="J22" s="13" t="n">
        <f aca="false">J7/J6</f>
        <v>0.564738794695218</v>
      </c>
      <c r="K22" s="13" t="n">
        <f aca="false">K7/K6</f>
        <v>0.579827626706963</v>
      </c>
      <c r="L22" s="13" t="n">
        <f aca="false">L7/L6</f>
        <v>0.597888283853521</v>
      </c>
      <c r="M22" s="13" t="n">
        <f aca="false">M7/M6</f>
        <v>0.606182238212292</v>
      </c>
      <c r="N22" s="13" t="n">
        <f aca="false">N7/N6</f>
        <v>0.56201780271099</v>
      </c>
      <c r="O22" s="13" t="n">
        <f aca="false">O7/O6</f>
        <v>0.614587074518618</v>
      </c>
      <c r="P22" s="13" t="n">
        <f aca="false">P7/P6</f>
        <v>0.682980145089612</v>
      </c>
      <c r="Q22" s="13" t="n">
        <f aca="false">Q7/Q6</f>
        <v>0.662518672852299</v>
      </c>
      <c r="R22" s="13" t="n">
        <f aca="false">R7/R6</f>
        <v>0.648586811625024</v>
      </c>
    </row>
    <row r="23" customFormat="false" ht="15" hidden="false" customHeight="false" outlineLevel="0" collapsed="false">
      <c r="A23" s="5" t="s">
        <v>102</v>
      </c>
      <c r="B23" s="13" t="n">
        <f aca="false">(B8-B7)/B6</f>
        <v>0.260475582314663</v>
      </c>
      <c r="C23" s="13" t="n">
        <f aca="false">(C8-C7)/C6</f>
        <v>0.242901796996582</v>
      </c>
      <c r="D23" s="13" t="n">
        <f aca="false">(D8-D7)/D6</f>
        <v>0.2494392138312</v>
      </c>
      <c r="E23" s="13" t="n">
        <f aca="false">(E8-E7)/E6</f>
        <v>0.227940775842073</v>
      </c>
      <c r="F23" s="13" t="n">
        <f aca="false">(F8-F7)/F6</f>
        <v>0.195261997209405</v>
      </c>
      <c r="G23" s="13" t="n">
        <f aca="false">(G8-G7)/G6</f>
        <v>0.21334639212629</v>
      </c>
      <c r="H23" s="13" t="n">
        <f aca="false">(H8-H7)/H6</f>
        <v>0.250498457825849</v>
      </c>
      <c r="I23" s="13" t="n">
        <f aca="false">(I8-I7)/I6</f>
        <v>0.193248577134715</v>
      </c>
      <c r="J23" s="13" t="n">
        <f aca="false">(J8-J7)/J6</f>
        <v>0.183663087783077</v>
      </c>
      <c r="K23" s="13" t="n">
        <f aca="false">(K8-K7)/K6</f>
        <v>0.157627845140105</v>
      </c>
      <c r="L23" s="13" t="n">
        <f aca="false">(L8-L7)/L6</f>
        <v>0.184203897250856</v>
      </c>
      <c r="M23" s="13" t="n">
        <f aca="false">(M8-M7)/M6</f>
        <v>0.161284594539082</v>
      </c>
      <c r="N23" s="13" t="n">
        <f aca="false">(N8-N7)/N6</f>
        <v>0.102843624515466</v>
      </c>
      <c r="O23" s="13" t="n">
        <f aca="false">(O8-O7)/O6</f>
        <v>0.133410787937067</v>
      </c>
      <c r="P23" s="13" t="n">
        <f aca="false">(P8-P7)/P6</f>
        <v>0.16898088129635</v>
      </c>
      <c r="Q23" s="13" t="n">
        <f aca="false">(Q8-Q7)/Q6</f>
        <v>0.160640396188339</v>
      </c>
      <c r="R23" s="13" t="n">
        <f aca="false">(R8-R7)/R6</f>
        <v>0.146543147761047</v>
      </c>
    </row>
    <row r="24" customFormat="false" ht="15" hidden="false" customHeight="false" outlineLevel="0" collapsed="false">
      <c r="A24" s="5" t="s">
        <v>103</v>
      </c>
      <c r="K24" s="13" t="n">
        <f aca="false">K16/K15</f>
        <v>0.283698156682028</v>
      </c>
      <c r="L24" s="13" t="n">
        <f aca="false">L16/L15</f>
        <v>0.245252386106465</v>
      </c>
      <c r="M24" s="13" t="n">
        <f aca="false">M16/M15</f>
        <v>0.274695999656254</v>
      </c>
      <c r="N24" s="13" t="n">
        <f aca="false">N16/N15</f>
        <v>0.343212035334198</v>
      </c>
      <c r="O24" s="13" t="n">
        <f aca="false">O16/O15</f>
        <v>0.259441412981045</v>
      </c>
      <c r="P24" s="13" t="n">
        <f aca="false">P16/P15</f>
        <v>0.15735107990038</v>
      </c>
      <c r="Q24" s="13" t="n">
        <f aca="false">Q16/Q15</f>
        <v>0.185605808299474</v>
      </c>
      <c r="R24" s="13" t="n">
        <f aca="false">R16/R15</f>
        <v>0.215911431513903</v>
      </c>
    </row>
    <row r="25" customFormat="false" ht="15" hidden="false" customHeight="false" outlineLevel="0" collapsed="false">
      <c r="A25" s="5" t="s">
        <v>104</v>
      </c>
      <c r="K25" s="13" t="n">
        <f aca="false">K17/K16</f>
        <v>0.768189509306261</v>
      </c>
      <c r="L25" s="13" t="n">
        <f aca="false">L17/L16</f>
        <v>0.748846539618857</v>
      </c>
      <c r="M25" s="13" t="n">
        <f aca="false">M17/M16</f>
        <v>0.718911309244486</v>
      </c>
      <c r="N25" s="13" t="n">
        <f aca="false">N17/N16</f>
        <v>0.740688685874912</v>
      </c>
      <c r="O25" s="13" t="n">
        <f aca="false">O17/O16</f>
        <v>0.731562197315622</v>
      </c>
      <c r="P25" s="13" t="n">
        <f aca="false">P17/P16</f>
        <v>0.718474312402698</v>
      </c>
      <c r="Q25" s="13" t="n">
        <f aca="false">Q17/Q16</f>
        <v>0.746097254620492</v>
      </c>
      <c r="R25" s="13" t="n">
        <f aca="false">R17/R16</f>
        <v>0.770689243978059</v>
      </c>
    </row>
    <row r="26" customFormat="false" ht="15" hidden="false" customHeight="false" outlineLevel="0" collapsed="false">
      <c r="A26" s="5" t="s">
        <v>105</v>
      </c>
      <c r="K26" s="29" t="n">
        <f aca="false">K17/K18</f>
        <v>50.3884572697003</v>
      </c>
      <c r="L26" s="29" t="n">
        <f aca="false">L17/L18</f>
        <v>48.4805194805195</v>
      </c>
      <c r="M26" s="29" t="n">
        <f aca="false">M17/M18</f>
        <v>47.7754677754678</v>
      </c>
      <c r="N26" s="29" t="n">
        <f aca="false">N17/N18</f>
        <v>48.1828571428571</v>
      </c>
      <c r="O26" s="29" t="n">
        <f aca="false">O17/O18</f>
        <v>44.0216486261449</v>
      </c>
      <c r="P26" s="29" t="n">
        <f aca="false">P17/P18</f>
        <v>42.8637770897833</v>
      </c>
      <c r="Q26" s="29" t="n">
        <f aca="false">Q17/Q18</f>
        <v>44.140127388535</v>
      </c>
      <c r="R26" s="29" t="n">
        <f aca="false">R17/R18</f>
        <v>44.3887362637363</v>
      </c>
    </row>
    <row r="27" customFormat="false" ht="15" hidden="false" customHeight="false" outlineLevel="0" collapsed="false">
      <c r="A27" s="5" t="s">
        <v>106</v>
      </c>
      <c r="E27" s="29" t="n">
        <f aca="false">E6/E19</f>
        <v>10.7062166666667</v>
      </c>
      <c r="F27" s="29" t="n">
        <f aca="false">F6/F19</f>
        <v>11.4242985074627</v>
      </c>
      <c r="G27" s="29" t="n">
        <f aca="false">G6/G19</f>
        <v>13.4685</v>
      </c>
      <c r="H27" s="29" t="n">
        <f aca="false">H6/H19</f>
        <v>15.4844683544304</v>
      </c>
      <c r="I27" s="29" t="n">
        <f aca="false">I6/I19</f>
        <v>17.7784197530864</v>
      </c>
      <c r="J27" s="29" t="n">
        <f aca="false">J6/J19</f>
        <v>19.5902183908046</v>
      </c>
      <c r="K27" s="29" t="n">
        <f aca="false">K6/K19</f>
        <v>21.0684183673469</v>
      </c>
      <c r="L27" s="29" t="n">
        <f aca="false">L6/L19</f>
        <v>17.9348035714286</v>
      </c>
      <c r="M27" s="29" t="n">
        <f aca="false">M6/M19</f>
        <v>21.1579906542056</v>
      </c>
      <c r="N27" s="29" t="n">
        <f aca="false">N6/N19</f>
        <v>28.8552543859649</v>
      </c>
      <c r="O27" s="29" t="n">
        <f aca="false">O6/O19</f>
        <v>21.2465230769231</v>
      </c>
      <c r="P27" s="29" t="n">
        <f aca="false">P6/P19</f>
        <v>17.8378602941176</v>
      </c>
      <c r="Q27" s="29" t="n">
        <f aca="false">Q6/Q19</f>
        <v>20.6916180555556</v>
      </c>
      <c r="R27" s="29" t="n">
        <f aca="false">R6/R19</f>
        <v>22.5486549707602</v>
      </c>
    </row>
    <row r="28" customFormat="false" ht="15" hidden="false" customHeight="false" outlineLevel="0" collapsed="false">
      <c r="A28" s="5" t="s">
        <v>107</v>
      </c>
      <c r="B28" s="30" t="n">
        <f aca="false">LN(B6)</f>
        <v>5.74433883389853</v>
      </c>
      <c r="C28" s="30" t="n">
        <f aca="false">LN(C6)</f>
        <v>5.92933645189162</v>
      </c>
      <c r="D28" s="30" t="n">
        <f aca="false">LN(D6)</f>
        <v>6.26199537424187</v>
      </c>
      <c r="E28" s="30" t="n">
        <f aca="false">LN(E6)</f>
        <v>6.46516913186135</v>
      </c>
      <c r="F28" s="30" t="n">
        <f aca="false">LN(F6)</f>
        <v>6.64043515450174</v>
      </c>
      <c r="G28" s="30" t="n">
        <f aca="false">LN(G6)</f>
        <v>6.81986133082294</v>
      </c>
      <c r="H28" s="30" t="n">
        <f aca="false">LN(H6)</f>
        <v>7.1092853323632</v>
      </c>
      <c r="I28" s="30" t="n">
        <f aca="false">LN(I6)</f>
        <v>7.27243450302917</v>
      </c>
      <c r="J28" s="30" t="n">
        <f aca="false">LN(J6)</f>
        <v>7.44093849862468</v>
      </c>
      <c r="K28" s="30" t="n">
        <f aca="false">LN(K6)</f>
        <v>7.63274263804722</v>
      </c>
      <c r="L28" s="30" t="n">
        <f aca="false">LN(L6)</f>
        <v>7.60524202997117</v>
      </c>
      <c r="M28" s="30" t="n">
        <f aca="false">LN(M6)</f>
        <v>7.72484647731194</v>
      </c>
      <c r="N28" s="30" t="n">
        <f aca="false">LN(N6)</f>
        <v>8.09849055252844</v>
      </c>
      <c r="O28" s="30" t="n">
        <f aca="false">LN(O6)</f>
        <v>7.92372771252931</v>
      </c>
      <c r="P28" s="30" t="n">
        <f aca="false">LN(P6)</f>
        <v>7.79397806702416</v>
      </c>
      <c r="Q28" s="30" t="n">
        <f aca="false">LN(Q6)</f>
        <v>7.99954199299073</v>
      </c>
      <c r="R28" s="30" t="n">
        <f aca="false">LN(R6)</f>
        <v>8.25733897414294</v>
      </c>
    </row>
    <row r="29" customFormat="false" ht="15" hidden="false" customHeight="false" outlineLevel="0" collapsed="false">
      <c r="A29" s="5" t="s">
        <v>108</v>
      </c>
      <c r="B29" s="31" t="n">
        <f aca="false">EXP(MidCycle!$C$8+MidCycle!$C$7*B$4)</f>
        <v>841.992587249085</v>
      </c>
      <c r="C29" s="31" t="n">
        <f aca="false">EXP(MidCycle!$C$8+MidCycle!$C$7*C$4)</f>
        <v>921.619716050658</v>
      </c>
      <c r="D29" s="31" t="n">
        <f aca="false">EXP(MidCycle!$C$8+MidCycle!$C$7*D$4)</f>
        <v>1008.7771720038</v>
      </c>
      <c r="E29" s="31" t="n">
        <f aca="false">EXP(MidCycle!$C$8+MidCycle!$C$7*E$4)</f>
        <v>1104.1770971619</v>
      </c>
      <c r="F29" s="31" t="n">
        <f aca="false">EXP(MidCycle!$C$8+MidCycle!$C$7*F$4)</f>
        <v>1208.5989807591</v>
      </c>
      <c r="G29" s="31" t="n">
        <f aca="false">EXP(MidCycle!$C$8+MidCycle!$C$7*G$4)</f>
        <v>1322.89602822453</v>
      </c>
      <c r="H29" s="31" t="n">
        <f aca="false">EXP(MidCycle!$C$8+MidCycle!$C$7*H$4)</f>
        <v>1448.00213251303</v>
      </c>
      <c r="I29" s="31" t="n">
        <f aca="false">EXP(MidCycle!$C$8+MidCycle!$C$7*I$4)</f>
        <v>1584.93950471398</v>
      </c>
      <c r="J29" s="31" t="n">
        <f aca="false">EXP(MidCycle!$C$8+MidCycle!$C$7*J$4)</f>
        <v>1734.82702628569</v>
      </c>
      <c r="K29" s="31" t="n">
        <f aca="false">EXP(MidCycle!$C$8+MidCycle!$C$7*K$4)</f>
        <v>1898.88939115974</v>
      </c>
      <c r="L29" s="31" t="n">
        <f aca="false">EXP(MidCycle!$C$8+MidCycle!$C$7*L$4)</f>
        <v>2078.46711241239</v>
      </c>
      <c r="M29" s="31" t="n">
        <f aca="false">EXP(MidCycle!$C$8+MidCycle!$C$7*M$4)</f>
        <v>2275.0274752662</v>
      </c>
      <c r="N29" s="31" t="n">
        <f aca="false">EXP(MidCycle!$C$8+MidCycle!$C$7*N$4)</f>
        <v>2490.1765259152</v>
      </c>
      <c r="O29" s="31" t="n">
        <f aca="false">EXP(MidCycle!$C$8+MidCycle!$C$7*O$4)</f>
        <v>2725.67219413179</v>
      </c>
      <c r="P29" s="31" t="n">
        <f aca="false">EXP(MidCycle!$C$8+MidCycle!$C$7*P$4)</f>
        <v>2983.43865687714</v>
      </c>
      <c r="Q29" s="31" t="n">
        <f aca="false">EXP(MidCycle!$C$8+MidCycle!$C$7*Q$4)</f>
        <v>3265.58206027562</v>
      </c>
      <c r="R29" s="31" t="n">
        <f aca="false">EXP(MidCycle!$C$8+MidCycle!$C$7*R$4)</f>
        <v>3574.40772841508</v>
      </c>
    </row>
    <row r="30" customFormat="false" ht="15" hidden="false" customHeight="false" outlineLevel="0" collapsed="false">
      <c r="A30" s="5" t="s">
        <v>109</v>
      </c>
      <c r="B30" s="30" t="n">
        <f aca="false">B6/B29</f>
        <v>0.37104483427902</v>
      </c>
      <c r="C30" s="30" t="n">
        <f aca="false">C6/C29</f>
        <v>0.407874303743018</v>
      </c>
      <c r="D30" s="30" t="n">
        <f aca="false">D6/D29</f>
        <v>0.519702481925339</v>
      </c>
      <c r="E30" s="30" t="n">
        <f aca="false">E6/E29</f>
        <v>0.581766277937763</v>
      </c>
      <c r="F30" s="30" t="n">
        <f aca="false">F6/F29</f>
        <v>0.633318422558367</v>
      </c>
      <c r="G30" s="30" t="n">
        <f aca="false">G6/G29</f>
        <v>0.69231291081067</v>
      </c>
      <c r="H30" s="30" t="n">
        <f aca="false">H6/H29</f>
        <v>0.844800551417001</v>
      </c>
      <c r="I30" s="30" t="n">
        <f aca="false">I6/I29</f>
        <v>0.908584836024941</v>
      </c>
      <c r="J30" s="30" t="n">
        <f aca="false">J6/J29</f>
        <v>0.982431662739919</v>
      </c>
      <c r="K30" s="30" t="n">
        <f aca="false">K6/K29</f>
        <v>1.08732241573007</v>
      </c>
      <c r="L30" s="30" t="n">
        <f aca="false">L6/L29</f>
        <v>0.966432419355718</v>
      </c>
      <c r="M30" s="30" t="n">
        <f aca="false">M6/M29</f>
        <v>0.995111058926928</v>
      </c>
      <c r="N30" s="30" t="n">
        <f aca="false">N6/N29</f>
        <v>1.32099028553449</v>
      </c>
      <c r="O30" s="30" t="n">
        <f aca="false">O6/O29</f>
        <v>1.0133456275287</v>
      </c>
      <c r="P30" s="30" t="n">
        <f aca="false">P6/P29</f>
        <v>0.813138555541584</v>
      </c>
      <c r="Q30" s="30" t="n">
        <f aca="false">Q6/Q29</f>
        <v>0.912423251047784</v>
      </c>
      <c r="R30" s="30" t="n">
        <f aca="false">R6/R29</f>
        <v>1.07872976251361</v>
      </c>
    </row>
    <row r="31" customFormat="false" ht="15" hidden="false" customHeight="false" outlineLevel="0" collapsed="false">
      <c r="A31" s="5" t="s">
        <v>110</v>
      </c>
      <c r="K31" s="13" t="n">
        <f aca="false">K30-1</f>
        <v>0.0873224157300669</v>
      </c>
      <c r="L31" s="13" t="n">
        <f aca="false">L30-1</f>
        <v>-0.0335675806442817</v>
      </c>
      <c r="M31" s="13" t="n">
        <f aca="false">M30-1</f>
        <v>-0.00488894107307214</v>
      </c>
      <c r="N31" s="13" t="n">
        <f aca="false">N30-1</f>
        <v>0.320990285534488</v>
      </c>
      <c r="O31" s="13" t="n">
        <f aca="false">O30-1</f>
        <v>0.0133456275286969</v>
      </c>
      <c r="P31" s="13" t="n">
        <f aca="false">P30-1</f>
        <v>-0.186861444458416</v>
      </c>
      <c r="Q31" s="13" t="n">
        <f aca="false">Q30-1</f>
        <v>-0.0875767489522159</v>
      </c>
      <c r="R31" s="13" t="n">
        <f aca="false">R30-1</f>
        <v>0.0787297625136068</v>
      </c>
    </row>
    <row r="32" customFormat="false" ht="15" hidden="false" customHeight="false" outlineLevel="0" collapsed="false">
      <c r="A32" s="5" t="s">
        <v>111</v>
      </c>
      <c r="K32" s="32" t="n">
        <f aca="false">K29*MidCycle!$C$22*MidCycle!$C$24/K26</f>
        <v>6.65040115160284</v>
      </c>
      <c r="L32" s="32" t="n">
        <f aca="false">L29*MidCycle!$C$22*MidCycle!$C$24/L26</f>
        <v>7.56580473981635</v>
      </c>
      <c r="M32" s="32" t="n">
        <f aca="false">M29*MidCycle!$C$22*MidCycle!$C$24/M26</f>
        <v>8.40351412510518</v>
      </c>
      <c r="N32" s="32" t="n">
        <f aca="false">N29*MidCycle!$C$22*MidCycle!$C$24/N26</f>
        <v>9.12046166135574</v>
      </c>
      <c r="O32" s="32" t="n">
        <f aca="false">O29*MidCycle!$C$22*MidCycle!$C$24/O26</f>
        <v>10.9266380515538</v>
      </c>
      <c r="P32" s="32" t="n">
        <f aca="false">P29*MidCycle!$C$22*MidCycle!$C$24/P26</f>
        <v>12.2830412777916</v>
      </c>
      <c r="Q32" s="32" t="n">
        <f aca="false">Q29*MidCycle!$C$22*MidCycle!$C$24/Q26</f>
        <v>13.0558831881583</v>
      </c>
      <c r="R32" s="32" t="n">
        <f aca="false">R29*MidCycle!$C$22*MidCycle!$C$24/R26</f>
        <v>14.2105388386115</v>
      </c>
    </row>
    <row r="33" customFormat="false" ht="15" hidden="false" customHeight="false" outlineLevel="0" collapsed="false">
      <c r="A33" s="5" t="s">
        <v>112</v>
      </c>
      <c r="K33" s="30" t="n">
        <f aca="false">K18/K32</f>
        <v>1.35480549136926</v>
      </c>
      <c r="L33" s="30" t="n">
        <f aca="false">L18/L32</f>
        <v>1.01773707686076</v>
      </c>
      <c r="M33" s="30" t="n">
        <f aca="false">M18/M32</f>
        <v>1.14475918726198</v>
      </c>
      <c r="N33" s="30" t="n">
        <f aca="false">N18/N32</f>
        <v>1.91876251990063</v>
      </c>
      <c r="O33" s="30" t="n">
        <f aca="false">O18/O32</f>
        <v>1.09914869910897</v>
      </c>
      <c r="P33" s="30" t="n">
        <f aca="false">P18/P32</f>
        <v>0.525928379942843</v>
      </c>
      <c r="Q33" s="30" t="n">
        <f aca="false">Q18/Q32</f>
        <v>0.721513808314701</v>
      </c>
      <c r="R33" s="30" t="n">
        <f aca="false">R18/R32</f>
        <v>1.02459168968589</v>
      </c>
    </row>
    <row r="35" customFormat="false" ht="15" hidden="false" customHeight="false" outlineLevel="0" collapsed="false">
      <c r="A35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/>
      <c r="B4" s="3" t="s">
        <v>116</v>
      </c>
      <c r="C4" s="4"/>
      <c r="D4" s="4"/>
    </row>
    <row r="6" customFormat="false" ht="15" hidden="false" customHeight="false" outlineLevel="0" collapsed="false">
      <c r="B6" s="16" t="s">
        <v>117</v>
      </c>
    </row>
    <row r="7" customFormat="false" ht="15" hidden="false" customHeight="false" outlineLevel="0" collapsed="false">
      <c r="B7" s="5" t="s">
        <v>118</v>
      </c>
      <c r="C7" s="30" t="n">
        <f aca="false">SLOPE(INDEX(History!$B$28:$R$28,MATCH(Inputs!$B$13,History!$B$4:$R$4,0)):INDEX(History!$B$28:$R$28,MATCH(Inputs!$B$14,History!$B$4:$R$4,0)),INDEX(History!$B$4:$R$4,MATCH(Inputs!$B$13,History!$B$4:$R$4,0)):INDEX(History!$B$4:$R$4,MATCH(Inputs!$B$14,History!$B$4:$R$4,0)))</f>
        <v>0.0903614725355271</v>
      </c>
      <c r="D7" s="2" t="s">
        <v>119</v>
      </c>
    </row>
    <row r="8" customFormat="false" ht="15" hidden="false" customHeight="false" outlineLevel="0" collapsed="false">
      <c r="B8" s="5" t="s">
        <v>120</v>
      </c>
      <c r="C8" s="30" t="n">
        <f aca="false">INTERCEPT(INDEX(History!$B$28:$R$28,MATCH(Inputs!$B$13,History!$B$4:$R$4,0)):INDEX(History!$B$28:$R$28,MATCH(Inputs!$B$14,History!$B$4:$R$4,0)),INDEX(History!$B$4:$R$4,MATCH(Inputs!$B$13,History!$B$4:$R$4,0)):INDEX(History!$B$4:$R$4,MATCH(Inputs!$B$14,History!$B$4:$R$4,0)))</f>
        <v>-174.800427113413</v>
      </c>
    </row>
    <row r="9" customFormat="false" ht="15" hidden="false" customHeight="false" outlineLevel="0" collapsed="false">
      <c r="B9" s="5" t="s">
        <v>121</v>
      </c>
      <c r="C9" s="13" t="n">
        <f aca="false">EXP(C7)-1</f>
        <v>0.0945698691501793</v>
      </c>
      <c r="D9" s="2" t="s">
        <v>122</v>
      </c>
    </row>
    <row r="10" customFormat="false" ht="15" hidden="false" customHeight="false" outlineLevel="0" collapsed="false">
      <c r="B10" s="5" t="s">
        <v>123</v>
      </c>
      <c r="C10" s="33" t="n">
        <f aca="false">EXP(C8+C7*Inputs!$B$15)</f>
        <v>3912.4389995806</v>
      </c>
      <c r="D10" s="2" t="s">
        <v>124</v>
      </c>
    </row>
    <row r="12" customFormat="false" ht="15" hidden="false" customHeight="false" outlineLevel="0" collapsed="false">
      <c r="B12" s="16" t="s">
        <v>125</v>
      </c>
    </row>
    <row r="13" customFormat="false" ht="15" hidden="false" customHeight="false" outlineLevel="0" collapsed="false">
      <c r="B13" s="5" t="s">
        <v>126</v>
      </c>
      <c r="C13" s="29" t="n">
        <f aca="false">AVERAGE(INDEX(History!$B$27:$R$27,MATCH(Inputs!$B$13,History!$B$4:$R$4,0)):INDEX(History!$B$27:$R$27,MATCH(Inputs!$B$14,History!$B$4:$R$4,0)))</f>
        <v>20.8709761520194</v>
      </c>
      <c r="D13" s="2" t="s">
        <v>127</v>
      </c>
    </row>
    <row r="14" customFormat="false" ht="15" hidden="false" customHeight="false" outlineLevel="0" collapsed="false">
      <c r="B14" s="5" t="s">
        <v>128</v>
      </c>
      <c r="C14" s="34" t="n">
        <f aca="false">Inputs!$B$18-Inputs!$B$19</f>
        <v>29</v>
      </c>
    </row>
    <row r="15" customFormat="false" ht="15" hidden="false" customHeight="false" outlineLevel="0" collapsed="false">
      <c r="B15" s="5" t="s">
        <v>129</v>
      </c>
      <c r="C15" s="29" t="n">
        <f aca="false">Inputs!$B$18-C14*(1-Inputs!$B$20)</f>
        <v>173.5</v>
      </c>
      <c r="D15" s="2" t="s">
        <v>130</v>
      </c>
    </row>
    <row r="16" customFormat="false" ht="15" hidden="false" customHeight="false" outlineLevel="0" collapsed="false">
      <c r="B16" s="5" t="s">
        <v>131</v>
      </c>
      <c r="C16" s="33" t="n">
        <f aca="false">C13*C15</f>
        <v>3621.11436237536</v>
      </c>
    </row>
    <row r="18" customFormat="false" ht="15" hidden="false" customHeight="false" outlineLevel="0" collapsed="false">
      <c r="B18" s="5" t="s">
        <v>132</v>
      </c>
      <c r="C18" s="35" t="n">
        <f aca="false">Inputs!$B$23*C10+(1-Inputs!$B$23)*C16</f>
        <v>3766.77668097798</v>
      </c>
      <c r="D18" s="2" t="s">
        <v>133</v>
      </c>
    </row>
    <row r="19" customFormat="false" ht="15" hidden="false" customHeight="false" outlineLevel="0" collapsed="false">
      <c r="B19" s="5" t="s">
        <v>134</v>
      </c>
      <c r="C19" s="13" t="n">
        <f aca="false">C16/C10-1</f>
        <v>-0.0744611321062055</v>
      </c>
    </row>
    <row r="20" customFormat="false" ht="15" hidden="false" customHeight="false" outlineLevel="0" collapsed="false">
      <c r="A20" s="3"/>
      <c r="B20" s="3" t="s">
        <v>135</v>
      </c>
      <c r="C20" s="4"/>
      <c r="D20" s="4"/>
    </row>
    <row r="21" customFormat="false" ht="15" hidden="false" customHeight="false" outlineLevel="0" collapsed="false">
      <c r="B21" s="5" t="s">
        <v>136</v>
      </c>
      <c r="C21" s="13" t="n">
        <f aca="false">SLOPE(History!K24:R24,History!K31:R31)</f>
        <v>0.34602865512287</v>
      </c>
      <c r="D21" s="2" t="s">
        <v>137</v>
      </c>
    </row>
    <row r="22" customFormat="false" ht="15" hidden="false" customHeight="false" outlineLevel="0" collapsed="false">
      <c r="B22" s="5" t="s">
        <v>138</v>
      </c>
      <c r="C22" s="36" t="n">
        <f aca="false">INTERCEPT(History!K24:R24,History!K31:R31)</f>
        <v>0.237536278708766</v>
      </c>
      <c r="D22" s="2" t="s">
        <v>139</v>
      </c>
    </row>
    <row r="23" customFormat="false" ht="15" hidden="false" customHeight="false" outlineLevel="0" collapsed="false">
      <c r="B23" s="5" t="s">
        <v>140</v>
      </c>
      <c r="C23" s="13" t="n">
        <f aca="false">AVERAGE(History!K24:R24)</f>
        <v>0.245646038809218</v>
      </c>
      <c r="D23" s="2" t="s">
        <v>141</v>
      </c>
    </row>
    <row r="24" customFormat="false" ht="15" hidden="false" customHeight="false" outlineLevel="0" collapsed="false">
      <c r="B24" s="5" t="s">
        <v>142</v>
      </c>
      <c r="C24" s="13" t="n">
        <f aca="false">AVERAGE(History!K25:R25)</f>
        <v>0.742932381545173</v>
      </c>
      <c r="D24" s="2" t="s">
        <v>143</v>
      </c>
    </row>
    <row r="26" customFormat="false" ht="15" hidden="false" customHeight="false" outlineLevel="0" collapsed="false">
      <c r="A26" s="3"/>
      <c r="B26" s="3" t="s">
        <v>144</v>
      </c>
      <c r="C26" s="4"/>
      <c r="D26" s="4"/>
    </row>
    <row r="27" customFormat="false" ht="15" hidden="false" customHeight="false" outlineLevel="0" collapsed="false">
      <c r="B27" s="5" t="s">
        <v>145</v>
      </c>
      <c r="C27" s="31" t="n">
        <f aca="false">C18*C22</f>
        <v>894.746115526464</v>
      </c>
    </row>
    <row r="28" customFormat="false" ht="15" hidden="false" customHeight="false" outlineLevel="0" collapsed="false">
      <c r="B28" s="5" t="s">
        <v>146</v>
      </c>
      <c r="C28" s="31" t="n">
        <f aca="false">C27*C24</f>
        <v>664.735862486369</v>
      </c>
    </row>
    <row r="29" customFormat="false" ht="15" hidden="false" customHeight="false" outlineLevel="0" collapsed="false">
      <c r="B29" s="5" t="s">
        <v>147</v>
      </c>
      <c r="C29" s="37" t="n">
        <f aca="false">C28/Inputs!$B$10</f>
        <v>15.0853872647405</v>
      </c>
      <c r="D29" s="2" t="s">
        <v>148</v>
      </c>
    </row>
    <row r="30" customFormat="false" ht="15" hidden="false" customHeight="false" outlineLevel="0" collapsed="false">
      <c r="B30" s="5" t="s">
        <v>149</v>
      </c>
      <c r="C30" s="32" t="n">
        <f aca="false">C10*C22*C24/Inputs!$B$10</f>
        <v>15.6687434528302</v>
      </c>
    </row>
    <row r="31" customFormat="false" ht="15" hidden="false" customHeight="false" outlineLevel="0" collapsed="false">
      <c r="B31" s="5" t="s">
        <v>150</v>
      </c>
      <c r="C31" s="32" t="n">
        <f aca="false">C16*C22*C24/Inputs!$B$10</f>
        <v>14.5020310766507</v>
      </c>
    </row>
    <row r="33" customFormat="false" ht="15" hidden="false" customHeight="false" outlineLevel="0" collapsed="false">
      <c r="A33" s="3"/>
      <c r="B33" s="3" t="s">
        <v>151</v>
      </c>
      <c r="C33" s="4"/>
      <c r="D33" s="4"/>
    </row>
    <row r="34" customFormat="false" ht="15" hidden="false" customHeight="false" outlineLevel="0" collapsed="false">
      <c r="B34" s="5" t="s">
        <v>152</v>
      </c>
      <c r="C34" s="32" t="n">
        <f aca="false">C29*(1+Inputs!$B$26+Inputs!$B$27)</f>
        <v>16.216791309596</v>
      </c>
      <c r="D34" s="2" t="s">
        <v>153</v>
      </c>
    </row>
    <row r="35" customFormat="false" ht="15" hidden="false" customHeight="false" outlineLevel="0" collapsed="false">
      <c r="B35" s="5" t="s">
        <v>154</v>
      </c>
      <c r="C35" s="32" t="n">
        <f aca="false">Inputs!$B$7</f>
        <v>22.19</v>
      </c>
    </row>
    <row r="36" customFormat="false" ht="15" hidden="false" customHeight="false" outlineLevel="0" collapsed="false">
      <c r="B36" s="5" t="s">
        <v>155</v>
      </c>
      <c r="C36" s="13" t="n">
        <f aca="false">C35/C34-1</f>
        <v>0.368334806582204</v>
      </c>
      <c r="D36" s="2" t="s">
        <v>156</v>
      </c>
    </row>
    <row r="37" customFormat="false" ht="15" hidden="false" customHeight="false" outlineLevel="0" collapsed="false">
      <c r="B37" s="5" t="s">
        <v>14</v>
      </c>
      <c r="C37" s="38" t="n">
        <f aca="false">Inputs!$B$5/C35</f>
        <v>12.0811176205498</v>
      </c>
      <c r="D37" s="2" t="s">
        <v>157</v>
      </c>
    </row>
    <row r="38" customFormat="false" ht="15" hidden="false" customHeight="false" outlineLevel="0" collapsed="false">
      <c r="B38" s="5" t="s">
        <v>158</v>
      </c>
      <c r="C38" s="39" t="n">
        <f aca="false">Inputs!$B$5/C34</f>
        <v>16.5310137426119</v>
      </c>
      <c r="D38" s="2" t="s">
        <v>159</v>
      </c>
    </row>
    <row r="39" customFormat="false" ht="15" hidden="false" customHeight="false" outlineLevel="0" collapsed="false">
      <c r="B39" s="5" t="s">
        <v>160</v>
      </c>
      <c r="C39" s="38" t="n">
        <f aca="false">Inputs!$B$6/C34</f>
        <v>23.9695999399085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16" t="s">
        <v>163</v>
      </c>
      <c r="B4" s="40" t="n">
        <v>0</v>
      </c>
      <c r="C4" s="40" t="n">
        <v>1</v>
      </c>
      <c r="D4" s="40" t="n">
        <v>2</v>
      </c>
      <c r="E4" s="40" t="n">
        <v>3</v>
      </c>
      <c r="F4" s="40" t="n">
        <v>4</v>
      </c>
      <c r="G4" s="40" t="n">
        <v>5</v>
      </c>
      <c r="H4" s="40" t="n">
        <v>6</v>
      </c>
      <c r="I4" s="40" t="n">
        <v>7</v>
      </c>
      <c r="J4" s="40" t="n">
        <v>8</v>
      </c>
      <c r="K4" s="40" t="n">
        <v>9</v>
      </c>
      <c r="L4" s="40" t="n">
        <v>10</v>
      </c>
    </row>
    <row r="5" customFormat="false" ht="15" hidden="false" customHeight="false" outlineLevel="0" collapsed="false">
      <c r="A5" s="16" t="s">
        <v>164</v>
      </c>
      <c r="B5" s="41" t="n">
        <f aca="false">Inputs!$B$15+0</f>
        <v>2026</v>
      </c>
      <c r="C5" s="41" t="n">
        <f aca="false">Inputs!$B$15+1</f>
        <v>2027</v>
      </c>
      <c r="D5" s="41" t="n">
        <f aca="false">Inputs!$B$15+2</f>
        <v>2028</v>
      </c>
      <c r="E5" s="41" t="n">
        <f aca="false">Inputs!$B$15+3</f>
        <v>2029</v>
      </c>
      <c r="F5" s="41" t="n">
        <f aca="false">Inputs!$B$15+4</f>
        <v>2030</v>
      </c>
      <c r="G5" s="41" t="n">
        <f aca="false">Inputs!$B$15+5</f>
        <v>2031</v>
      </c>
      <c r="H5" s="41" t="n">
        <f aca="false">Inputs!$B$15+6</f>
        <v>2032</v>
      </c>
      <c r="I5" s="41" t="n">
        <f aca="false">Inputs!$B$15+7</f>
        <v>2033</v>
      </c>
      <c r="J5" s="41" t="n">
        <f aca="false">Inputs!$B$15+8</f>
        <v>2034</v>
      </c>
      <c r="K5" s="41" t="n">
        <f aca="false">Inputs!$B$15+9</f>
        <v>2035</v>
      </c>
      <c r="L5" s="41" t="n">
        <f aca="false">Inputs!$B$15+10</f>
        <v>2036</v>
      </c>
    </row>
    <row r="6" customFormat="false" ht="15" hidden="false" customHeight="false" outlineLevel="0" collapsed="false">
      <c r="A6" s="5" t="s">
        <v>165</v>
      </c>
      <c r="C6" s="13" t="n">
        <f aca="false">Inputs!$B$26</f>
        <v>0.045</v>
      </c>
      <c r="D6" s="13" t="n">
        <f aca="false">Inputs!$B$26</f>
        <v>0.045</v>
      </c>
      <c r="E6" s="13" t="n">
        <f aca="false">Inputs!$B$26</f>
        <v>0.045</v>
      </c>
      <c r="F6" s="13" t="n">
        <f aca="false">Inputs!$B$26</f>
        <v>0.045</v>
      </c>
      <c r="G6" s="13" t="n">
        <f aca="false">Inputs!$B$26</f>
        <v>0.045</v>
      </c>
      <c r="H6" s="13" t="n">
        <f aca="false">Inputs!$B$26</f>
        <v>0.045</v>
      </c>
      <c r="I6" s="13" t="n">
        <f aca="false">Inputs!$B$26</f>
        <v>0.045</v>
      </c>
      <c r="J6" s="13" t="n">
        <f aca="false">Inputs!$B$26</f>
        <v>0.045</v>
      </c>
      <c r="K6" s="13" t="n">
        <f aca="false">Inputs!$B$26</f>
        <v>0.045</v>
      </c>
      <c r="L6" s="13" t="n">
        <f aca="false">Inputs!$B$26</f>
        <v>0.045</v>
      </c>
    </row>
    <row r="7" customFormat="false" ht="15" hidden="false" customHeight="false" outlineLevel="0" collapsed="false">
      <c r="A7" s="5" t="s">
        <v>166</v>
      </c>
      <c r="C7" s="13" t="n">
        <f aca="false">Inputs!$B$27*MAX(0,(10-C4)/(10-1))</f>
        <v>0.03</v>
      </c>
      <c r="D7" s="13" t="n">
        <f aca="false">Inputs!$B$27*MAX(0,(10-D4)/(10-1))</f>
        <v>0.0266666666666667</v>
      </c>
      <c r="E7" s="13" t="n">
        <f aca="false">Inputs!$B$27*MAX(0,(10-E4)/(10-1))</f>
        <v>0.0233333333333333</v>
      </c>
      <c r="F7" s="13" t="n">
        <f aca="false">Inputs!$B$27*MAX(0,(10-F4)/(10-1))</f>
        <v>0.02</v>
      </c>
      <c r="G7" s="13" t="n">
        <f aca="false">Inputs!$B$27*MAX(0,(10-G4)/(10-1))</f>
        <v>0.0166666666666667</v>
      </c>
      <c r="H7" s="13" t="n">
        <f aca="false">Inputs!$B$27*MAX(0,(10-H4)/(10-1))</f>
        <v>0.0133333333333333</v>
      </c>
      <c r="I7" s="13" t="n">
        <f aca="false">Inputs!$B$27*MAX(0,(10-I4)/(10-1))</f>
        <v>0.01</v>
      </c>
      <c r="J7" s="13" t="n">
        <f aca="false">Inputs!$B$27*MAX(0,(10-J4)/(10-1))</f>
        <v>0.00666666666666667</v>
      </c>
      <c r="K7" s="13" t="n">
        <f aca="false">Inputs!$B$27*MAX(0,(10-K4)/(10-1))</f>
        <v>0.00333333333333333</v>
      </c>
      <c r="L7" s="13" t="n">
        <f aca="false">Inputs!$B$27*MAX(0,(10-L4)/(10-1))</f>
        <v>0</v>
      </c>
    </row>
    <row r="8" customFormat="false" ht="15" hidden="false" customHeight="false" outlineLevel="0" collapsed="false">
      <c r="A8" s="5" t="s">
        <v>167</v>
      </c>
      <c r="C8" s="13" t="n">
        <f aca="false">C6+C7</f>
        <v>0.075</v>
      </c>
      <c r="D8" s="13" t="n">
        <f aca="false">D6+D7</f>
        <v>0.0716666666666667</v>
      </c>
      <c r="E8" s="13" t="n">
        <f aca="false">E6+E7</f>
        <v>0.0683333333333333</v>
      </c>
      <c r="F8" s="13" t="n">
        <f aca="false">F6+F7</f>
        <v>0.065</v>
      </c>
      <c r="G8" s="13" t="n">
        <f aca="false">G6+G7</f>
        <v>0.0616666666666667</v>
      </c>
      <c r="H8" s="13" t="n">
        <f aca="false">H6+H7</f>
        <v>0.0583333333333333</v>
      </c>
      <c r="I8" s="13" t="n">
        <f aca="false">I6+I7</f>
        <v>0.055</v>
      </c>
      <c r="J8" s="13" t="n">
        <f aca="false">J6+J7</f>
        <v>0.0516666666666667</v>
      </c>
      <c r="K8" s="13" t="n">
        <f aca="false">K6+K7</f>
        <v>0.0483333333333333</v>
      </c>
      <c r="L8" s="13" t="n">
        <f aca="false">L6+L7</f>
        <v>0.045</v>
      </c>
    </row>
    <row r="9" customFormat="false" ht="15" hidden="false" customHeight="false" outlineLevel="0" collapsed="false">
      <c r="A9" s="5" t="s">
        <v>146</v>
      </c>
      <c r="B9" s="42" t="n">
        <f aca="false">MidCycle!C28</f>
        <v>664.735862486369</v>
      </c>
      <c r="C9" s="31" t="n">
        <f aca="false">B9*(1+C8)</f>
        <v>714.591052172846</v>
      </c>
      <c r="D9" s="31" t="n">
        <f aca="false">C9*(1+D8)</f>
        <v>765.8034109119</v>
      </c>
      <c r="E9" s="31" t="n">
        <f aca="false">D9*(1+E8)</f>
        <v>818.133310657547</v>
      </c>
      <c r="F9" s="31" t="n">
        <f aca="false">E9*(1+F8)</f>
        <v>871.311975850287</v>
      </c>
      <c r="G9" s="31" t="n">
        <f aca="false">F9*(1+G8)</f>
        <v>925.042881027722</v>
      </c>
      <c r="H9" s="31" t="n">
        <f aca="false">G9*(1+H8)</f>
        <v>979.003715754339</v>
      </c>
      <c r="I9" s="31" t="n">
        <f aca="false">H9*(1+I8)</f>
        <v>1032.84892012083</v>
      </c>
      <c r="J9" s="31" t="n">
        <f aca="false">I9*(1+J8)</f>
        <v>1086.21278099374</v>
      </c>
      <c r="K9" s="31" t="n">
        <f aca="false">J9*(1+K8)</f>
        <v>1138.71306540843</v>
      </c>
      <c r="L9" s="31" t="n">
        <f aca="false">K9*(1+L8)</f>
        <v>1189.95515335181</v>
      </c>
    </row>
    <row r="10" customFormat="false" ht="15" hidden="false" customHeight="false" outlineLevel="0" collapsed="false">
      <c r="A10" s="5" t="s">
        <v>168</v>
      </c>
      <c r="C10" s="13" t="n">
        <f aca="false">1-C8/Inputs!$B$29</f>
        <v>0.75</v>
      </c>
      <c r="D10" s="13" t="n">
        <f aca="false">1-D8/Inputs!$B$29</f>
        <v>0.761111111111111</v>
      </c>
      <c r="E10" s="13" t="n">
        <f aca="false">1-E8/Inputs!$B$29</f>
        <v>0.772222222222222</v>
      </c>
      <c r="F10" s="13" t="n">
        <f aca="false">1-F8/Inputs!$B$29</f>
        <v>0.783333333333333</v>
      </c>
      <c r="G10" s="13" t="n">
        <f aca="false">1-G8/Inputs!$B$29</f>
        <v>0.794444444444445</v>
      </c>
      <c r="H10" s="13" t="n">
        <f aca="false">1-H8/Inputs!$B$29</f>
        <v>0.805555555555556</v>
      </c>
      <c r="I10" s="13" t="n">
        <f aca="false">1-I8/Inputs!$B$29</f>
        <v>0.816666666666667</v>
      </c>
      <c r="J10" s="13" t="n">
        <f aca="false">1-J8/Inputs!$B$29</f>
        <v>0.827777777777778</v>
      </c>
      <c r="K10" s="13" t="n">
        <f aca="false">1-K8/Inputs!$B$29</f>
        <v>0.838888888888889</v>
      </c>
      <c r="L10" s="13" t="n">
        <f aca="false">1-L8/Inputs!$B$29</f>
        <v>0.85</v>
      </c>
    </row>
    <row r="11" customFormat="false" ht="15" hidden="false" customHeight="false" outlineLevel="0" collapsed="false">
      <c r="A11" s="5" t="s">
        <v>169</v>
      </c>
      <c r="C11" s="31" t="n">
        <f aca="false">C9*C10</f>
        <v>535.943289129635</v>
      </c>
      <c r="D11" s="31" t="n">
        <f aca="false">D9*D10</f>
        <v>582.861484971835</v>
      </c>
      <c r="E11" s="31" t="n">
        <f aca="false">E9*E10</f>
        <v>631.780723229995</v>
      </c>
      <c r="F11" s="31" t="n">
        <f aca="false">F9*F10</f>
        <v>682.527714416058</v>
      </c>
      <c r="G11" s="31" t="n">
        <f aca="false">G9*G10</f>
        <v>734.895177705357</v>
      </c>
      <c r="H11" s="31" t="n">
        <f aca="false">H9*H10</f>
        <v>788.64188213544</v>
      </c>
      <c r="I11" s="31" t="n">
        <f aca="false">I9*I10</f>
        <v>843.493284765342</v>
      </c>
      <c r="J11" s="31" t="n">
        <f aca="false">J9*J10</f>
        <v>899.142802044816</v>
      </c>
      <c r="K11" s="31" t="n">
        <f aca="false">K9*K10</f>
        <v>955.253738203742</v>
      </c>
      <c r="L11" s="31" t="n">
        <f aca="false">L9*L10</f>
        <v>1011.46188034904</v>
      </c>
    </row>
    <row r="12" customFormat="false" ht="15" hidden="false" customHeight="false" outlineLevel="0" collapsed="false">
      <c r="A12" s="5" t="s">
        <v>170</v>
      </c>
      <c r="C12" s="30" t="n">
        <f aca="false">1/(1+Inputs!$B$35)^C4</f>
        <v>0.89063056644104</v>
      </c>
      <c r="D12" s="30" t="n">
        <f aca="false">1/(1+Inputs!$B$35)^D4</f>
        <v>0.793222805879088</v>
      </c>
      <c r="E12" s="30" t="n">
        <f aca="false">1/(1+Inputs!$B$35)^E4</f>
        <v>0.706468476914044</v>
      </c>
      <c r="F12" s="30" t="n">
        <f aca="false">1/(1+Inputs!$B$35)^F4</f>
        <v>0.629202419766694</v>
      </c>
      <c r="G12" s="30" t="n">
        <f aca="false">1/(1+Inputs!$B$35)^G4</f>
        <v>0.560386907522884</v>
      </c>
      <c r="H12" s="30" t="n">
        <f aca="false">1/(1+Inputs!$B$35)^H4</f>
        <v>0.499097708873249</v>
      </c>
      <c r="I12" s="30" t="n">
        <f aca="false">1/(1+Inputs!$B$35)^I4</f>
        <v>0.444511675163207</v>
      </c>
      <c r="J12" s="30" t="n">
        <f aca="false">1/(1+Inputs!$B$35)^J4</f>
        <v>0.395895685040263</v>
      </c>
      <c r="K12" s="30" t="n">
        <f aca="false">1/(1+Inputs!$B$35)^K4</f>
        <v>0.352596798218973</v>
      </c>
      <c r="L12" s="30" t="n">
        <f aca="false">1/(1+Inputs!$B$35)^L4</f>
        <v>0.314033486123061</v>
      </c>
    </row>
    <row r="13" customFormat="false" ht="15" hidden="false" customHeight="false" outlineLevel="0" collapsed="false">
      <c r="A13" s="5" t="s">
        <v>171</v>
      </c>
      <c r="C13" s="31" t="n">
        <f aca="false">C11*C12</f>
        <v>477.327475177801</v>
      </c>
      <c r="D13" s="31" t="n">
        <f aca="false">D11*D12</f>
        <v>462.339022548211</v>
      </c>
      <c r="E13" s="31" t="n">
        <f aca="false">E11*E12</f>
        <v>446.333165283947</v>
      </c>
      <c r="F13" s="31" t="n">
        <f aca="false">F11*F12</f>
        <v>429.448089468415</v>
      </c>
      <c r="G13" s="31" t="n">
        <f aca="false">G11*G12</f>
        <v>411.825635987785</v>
      </c>
      <c r="H13" s="31" t="n">
        <f aca="false">H11*H12</f>
        <v>393.609356495285</v>
      </c>
      <c r="I13" s="31" t="n">
        <f aca="false">I11*I12</f>
        <v>374.942612999958</v>
      </c>
      <c r="J13" s="31" t="n">
        <f aca="false">J11*J12</f>
        <v>355.966755564553</v>
      </c>
      <c r="K13" s="31" t="n">
        <f aca="false">K11*K12</f>
        <v>336.819409577344</v>
      </c>
      <c r="L13" s="31" t="n">
        <f aca="false">L11*L12</f>
        <v>317.632900366596</v>
      </c>
    </row>
    <row r="14" customFormat="false" ht="15" hidden="false" customHeight="false" outlineLevel="0" collapsed="false">
      <c r="A14" s="5" t="s">
        <v>172</v>
      </c>
      <c r="B14" s="32" t="n">
        <f aca="false">B9/Inputs!$B$10</f>
        <v>15.0853872647405</v>
      </c>
      <c r="C14" s="32" t="n">
        <f aca="false">C9/Inputs!$B$10</f>
        <v>16.216791309596</v>
      </c>
      <c r="D14" s="32" t="n">
        <f aca="false">D9/Inputs!$B$10</f>
        <v>17.3789946867837</v>
      </c>
      <c r="E14" s="32" t="n">
        <f aca="false">E9/Inputs!$B$10</f>
        <v>18.5665593237139</v>
      </c>
      <c r="F14" s="32" t="n">
        <f aca="false">F9/Inputs!$B$10</f>
        <v>19.7733856797553</v>
      </c>
      <c r="G14" s="32" t="n">
        <f aca="false">G9/Inputs!$B$10</f>
        <v>20.9927444633402</v>
      </c>
      <c r="H14" s="32" t="n">
        <f aca="false">H9/Inputs!$B$10</f>
        <v>22.2173212237018</v>
      </c>
      <c r="I14" s="32" t="n">
        <f aca="false">I9/Inputs!$B$10</f>
        <v>23.4392738910054</v>
      </c>
      <c r="J14" s="32" t="n">
        <f aca="false">J9/Inputs!$B$10</f>
        <v>24.6503030420406</v>
      </c>
      <c r="K14" s="32" t="n">
        <f aca="false">K9/Inputs!$B$10</f>
        <v>25.8417343557393</v>
      </c>
      <c r="L14" s="32" t="n">
        <f aca="false">L9/Inputs!$B$10</f>
        <v>27.0046124017475</v>
      </c>
    </row>
    <row r="16" customFormat="false" ht="15" hidden="false" customHeight="false" outlineLevel="0" collapsed="false">
      <c r="A16" s="3" t="s">
        <v>173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5" t="s">
        <v>174</v>
      </c>
      <c r="B17" s="31" t="n">
        <f aca="false">SUM(C13:L13)</f>
        <v>4006.24442346989</v>
      </c>
    </row>
    <row r="18" customFormat="false" ht="15" hidden="false" customHeight="false" outlineLevel="0" collapsed="false">
      <c r="A18" s="5" t="s">
        <v>175</v>
      </c>
      <c r="B18" s="31" t="n">
        <f aca="false">L9*(1+Inputs!$B$28)*(1-Inputs!$B$28/Inputs!$B$29)/(Inputs!$B$35-Inputs!$B$28)</f>
        <v>12953.4570638619</v>
      </c>
    </row>
    <row r="19" customFormat="false" ht="15" hidden="false" customHeight="false" outlineLevel="0" collapsed="false">
      <c r="A19" s="5" t="s">
        <v>176</v>
      </c>
      <c r="B19" s="31" t="n">
        <f aca="false">B18*L12</f>
        <v>4067.81927910995</v>
      </c>
    </row>
    <row r="20" customFormat="false" ht="15" hidden="false" customHeight="false" outlineLevel="0" collapsed="false">
      <c r="A20" s="5" t="s">
        <v>177</v>
      </c>
      <c r="B20" s="31" t="n">
        <f aca="false">B17+B19</f>
        <v>8074.06370257985</v>
      </c>
    </row>
    <row r="21" customFormat="false" ht="15" hidden="false" customHeight="false" outlineLevel="0" collapsed="false">
      <c r="A21" s="16" t="s">
        <v>178</v>
      </c>
      <c r="B21" s="37" t="n">
        <f aca="false">B20/Inputs!$B$10</f>
        <v>183.231242102722</v>
      </c>
    </row>
    <row r="22" customFormat="false" ht="15" hidden="false" customHeight="false" outlineLevel="0" collapsed="false">
      <c r="A22" s="5" t="s">
        <v>179</v>
      </c>
      <c r="B22" s="32" t="n">
        <f aca="false">Inputs!$B$5</f>
        <v>268.08</v>
      </c>
    </row>
    <row r="23" customFormat="false" ht="15" hidden="false" customHeight="false" outlineLevel="0" collapsed="false">
      <c r="A23" s="16" t="s">
        <v>180</v>
      </c>
      <c r="B23" s="24" t="n">
        <f aca="false">B21/B22-1</f>
        <v>-0.316505363687252</v>
      </c>
    </row>
    <row r="24" customFormat="false" ht="15" hidden="false" customHeight="false" outlineLevel="0" collapsed="false">
      <c r="A24" s="5" t="s">
        <v>181</v>
      </c>
      <c r="B24" s="38" t="n">
        <f aca="false">B21/MidCycle!C29</f>
        <v>12.1462736678291</v>
      </c>
    </row>
    <row r="25" customFormat="false" ht="15" hidden="false" customHeight="false" outlineLevel="0" collapsed="false">
      <c r="A25" s="5" t="s">
        <v>182</v>
      </c>
      <c r="B25" s="13" t="n">
        <f aca="false">B19/B20</f>
        <v>0.503813126692349</v>
      </c>
    </row>
    <row r="26" customFormat="false" ht="15" hidden="false" customHeight="false" outlineLevel="0" collapsed="false">
      <c r="A26" s="2" t="s">
        <v>183</v>
      </c>
    </row>
    <row r="28" customFormat="false" ht="15" hidden="false" customHeight="false" outlineLevel="0" collapsed="false">
      <c r="A28" s="3" t="s">
        <v>184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5" t="s">
        <v>185</v>
      </c>
      <c r="B29" s="7" t="n">
        <f aca="false">MidCycle!C34</f>
        <v>16.216791309596</v>
      </c>
    </row>
    <row r="30" customFormat="false" ht="15" hidden="false" customHeight="false" outlineLevel="0" collapsed="false">
      <c r="A30" s="5" t="s">
        <v>186</v>
      </c>
      <c r="B30" s="36" t="n">
        <f aca="false">(Inputs!$B$5*Inputs!$B$35-B29)/(Inputs!$B$5-B29/Inputs!$B$29)</f>
        <v>0.0780446605502431</v>
      </c>
    </row>
    <row r="31" customFormat="false" ht="15" hidden="false" customHeight="false" outlineLevel="0" collapsed="false">
      <c r="A31" s="5" t="s">
        <v>187</v>
      </c>
      <c r="B31" s="8" t="n">
        <f aca="false">Inputs!$B$26</f>
        <v>0.045</v>
      </c>
    </row>
    <row r="33" customFormat="false" ht="15" hidden="false" customHeight="false" outlineLevel="0" collapsed="false">
      <c r="A33" s="3" t="s">
        <v>188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16" t="s">
        <v>189</v>
      </c>
      <c r="B34" s="43" t="n">
        <v>0.03</v>
      </c>
      <c r="C34" s="43" t="n">
        <v>0.04</v>
      </c>
      <c r="D34" s="43" t="n">
        <v>0.05</v>
      </c>
      <c r="E34" s="43" t="n">
        <v>0.06</v>
      </c>
      <c r="F34" s="43" t="n">
        <v>0.07</v>
      </c>
    </row>
    <row r="35" customFormat="false" ht="15" hidden="false" customHeight="false" outlineLevel="0" collapsed="false">
      <c r="A35" s="44" t="n">
        <v>0.09</v>
      </c>
      <c r="B35" s="31" t="n">
        <f aca="false">IF($A35&gt;B$34,$B$29*(1-B$34/Inputs!$B$29)/($A35-B$34),NA())</f>
        <v>243.25186964394</v>
      </c>
      <c r="C35" s="31" t="n">
        <f aca="false">IF($A35&gt;C$34,$B$29*(1-C$34/Inputs!$B$29)/($A35-C$34),NA())</f>
        <v>281.091049366331</v>
      </c>
      <c r="D35" s="31" t="n">
        <f aca="false">IF($A35&gt;D$34,$B$29*(1-D$34/Inputs!$B$29)/($A35-D$34),NA())</f>
        <v>337.849818949917</v>
      </c>
      <c r="E35" s="31" t="n">
        <f aca="false">IF($A35&gt;E$34,$B$29*(1-E$34/Inputs!$B$29)/($A35-E$34),NA())</f>
        <v>432.447768255893</v>
      </c>
      <c r="F35" s="31" t="n">
        <f aca="false">IF($A35&gt;F$34,$B$29*(1-F$34/Inputs!$B$29)/($A35-F$34),NA())</f>
        <v>621.643666867847</v>
      </c>
    </row>
    <row r="36" customFormat="false" ht="15" hidden="false" customHeight="false" outlineLevel="0" collapsed="false">
      <c r="A36" s="44" t="n">
        <v>0.1</v>
      </c>
      <c r="B36" s="31" t="n">
        <f aca="false">IF($A36&gt;B$34,$B$29*(1-B$34/Inputs!$B$29)/($A36-B$34),NA())</f>
        <v>208.501602551948</v>
      </c>
      <c r="C36" s="31" t="n">
        <f aca="false">IF($A36&gt;C$34,$B$29*(1-C$34/Inputs!$B$29)/($A36-C$34),NA())</f>
        <v>234.242541138609</v>
      </c>
      <c r="D36" s="31" t="n">
        <f aca="false">IF($A36&gt;D$34,$B$29*(1-D$34/Inputs!$B$29)/($A36-D$34),NA())</f>
        <v>270.279855159933</v>
      </c>
      <c r="E36" s="31" t="n">
        <f aca="false">IF($A36&gt;E$34,$B$29*(1-E$34/Inputs!$B$29)/($A36-E$34),NA())</f>
        <v>324.33582619192</v>
      </c>
      <c r="F36" s="31" t="n">
        <f aca="false">IF($A36&gt;F$34,$B$29*(1-F$34/Inputs!$B$29)/($A36-F$34),NA())</f>
        <v>414.429111245231</v>
      </c>
    </row>
    <row r="37" customFormat="false" ht="15" hidden="false" customHeight="false" outlineLevel="0" collapsed="false">
      <c r="A37" s="44" t="n">
        <v>0.11</v>
      </c>
      <c r="B37" s="31" t="n">
        <f aca="false">IF($A37&gt;B$34,$B$29*(1-B$34/Inputs!$B$29)/($A37-B$34),NA())</f>
        <v>182.438902232955</v>
      </c>
      <c r="C37" s="31" t="n">
        <f aca="false">IF($A37&gt;C$34,$B$29*(1-C$34/Inputs!$B$29)/($A37-C$34),NA())</f>
        <v>200.77932097595</v>
      </c>
      <c r="D37" s="31" t="n">
        <f aca="false">IF($A37&gt;D$34,$B$29*(1-D$34/Inputs!$B$29)/($A37-D$34),NA())</f>
        <v>225.233212633278</v>
      </c>
      <c r="E37" s="31" t="n">
        <f aca="false">IF($A37&gt;E$34,$B$29*(1-E$34/Inputs!$B$29)/($A37-E$34),NA())</f>
        <v>259.468660953536</v>
      </c>
      <c r="F37" s="31" t="n">
        <f aca="false">IF($A37&gt;F$34,$B$29*(1-F$34/Inputs!$B$29)/($A37-F$34),NA())</f>
        <v>310.821833433923</v>
      </c>
    </row>
    <row r="38" customFormat="false" ht="15" hidden="false" customHeight="false" outlineLevel="0" collapsed="false">
      <c r="A38" s="44" t="n">
        <v>0.12</v>
      </c>
      <c r="B38" s="31" t="n">
        <f aca="false">IF($A38&gt;B$34,$B$29*(1-B$34/Inputs!$B$29)/($A38-B$34),NA())</f>
        <v>162.16791309596</v>
      </c>
      <c r="C38" s="31" t="n">
        <f aca="false">IF($A38&gt;C$34,$B$29*(1-C$34/Inputs!$B$29)/($A38-C$34),NA())</f>
        <v>175.681905853957</v>
      </c>
      <c r="D38" s="31" t="n">
        <f aca="false">IF($A38&gt;D$34,$B$29*(1-D$34/Inputs!$B$29)/($A38-D$34),NA())</f>
        <v>193.057039399952</v>
      </c>
      <c r="E38" s="31" t="n">
        <f aca="false">IF($A38&gt;E$34,$B$29*(1-E$34/Inputs!$B$29)/($A38-E$34),NA())</f>
        <v>216.223884127947</v>
      </c>
      <c r="F38" s="31" t="n">
        <f aca="false">IF($A38&gt;F$34,$B$29*(1-F$34/Inputs!$B$29)/($A38-F$34),NA())</f>
        <v>248.657466747139</v>
      </c>
    </row>
    <row r="39" customFormat="false" ht="15" hidden="false" customHeight="false" outlineLevel="0" collapsed="false">
      <c r="A39" s="44" t="n">
        <v>0.13</v>
      </c>
      <c r="B39" s="31" t="n">
        <f aca="false">IF($A39&gt;B$34,$B$29*(1-B$34/Inputs!$B$29)/($A39-B$34),NA())</f>
        <v>145.951121786364</v>
      </c>
      <c r="C39" s="31" t="n">
        <f aca="false">IF($A39&gt;C$34,$B$29*(1-C$34/Inputs!$B$29)/($A39-C$34),NA())</f>
        <v>156.161694092406</v>
      </c>
      <c r="D39" s="31" t="n">
        <f aca="false">IF($A39&gt;D$34,$B$29*(1-D$34/Inputs!$B$29)/($A39-D$34),NA())</f>
        <v>168.924909474958</v>
      </c>
      <c r="E39" s="31" t="n">
        <f aca="false">IF($A39&gt;E$34,$B$29*(1-E$34/Inputs!$B$29)/($A39-E$34),NA())</f>
        <v>185.334757823954</v>
      </c>
      <c r="F39" s="31" t="n">
        <f aca="false">IF($A39&gt;F$34,$B$29*(1-F$34/Inputs!$B$29)/($A39-F$34),NA())</f>
        <v>207.214555622615</v>
      </c>
    </row>
    <row r="41" customFormat="false" ht="15" hidden="false" customHeight="false" outlineLevel="0" collapsed="false">
      <c r="A41" s="5" t="s">
        <v>190</v>
      </c>
      <c r="B41" s="7" t="n">
        <f aca="false">Inputs!$B$5</f>
        <v>268.08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6" t="s">
        <v>191</v>
      </c>
    </row>
    <row r="2" customFormat="false" ht="15" hidden="false" customHeight="false" outlineLevel="0" collapsed="false">
      <c r="A2" s="5" t="s">
        <v>192</v>
      </c>
    </row>
    <row r="3" customFormat="false" ht="15" hidden="false" customHeight="false" outlineLevel="0" collapsed="false">
      <c r="A3" s="5" t="s">
        <v>193</v>
      </c>
    </row>
    <row r="4" customFormat="false" ht="15" hidden="false" customHeight="false" outlineLevel="0" collapsed="false">
      <c r="A4" s="5" t="s">
        <v>194</v>
      </c>
    </row>
    <row r="5" customFormat="false" ht="15" hidden="false" customHeight="false" outlineLevel="0" collapsed="false">
      <c r="A5" s="5" t="s">
        <v>195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16" t="s">
        <v>196</v>
      </c>
    </row>
    <row r="8" customFormat="false" ht="15" hidden="false" customHeight="false" outlineLevel="0" collapsed="false">
      <c r="A8" s="5" t="s">
        <v>197</v>
      </c>
    </row>
    <row r="9" customFormat="false" ht="15" hidden="false" customHeight="false" outlineLevel="0" collapsed="false">
      <c r="A9" s="5" t="s">
        <v>198</v>
      </c>
    </row>
    <row r="10" customFormat="false" ht="15" hidden="false" customHeight="false" outlineLevel="0" collapsed="false">
      <c r="A10" s="5" t="s">
        <v>199</v>
      </c>
    </row>
    <row r="11" customFormat="false" ht="15" hidden="false" customHeight="false" outlineLevel="0" collapsed="false">
      <c r="A11" s="5" t="s">
        <v>200</v>
      </c>
    </row>
    <row r="12" customFormat="false" ht="15" hidden="false" customHeight="false" outlineLevel="0" collapsed="false">
      <c r="A12" s="5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2026-10-10T08:03:43Z</dcterms:created>
  <dc:creator>openpyxl</dc:creator>
  <dc:description/>
  <dc:language>en-US</dc:language>
  <cp:lastModifiedBy/>
  <dcterms:modified xsi:type="dcterms:W3CDTF">2026-10-10T08:03:47Z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