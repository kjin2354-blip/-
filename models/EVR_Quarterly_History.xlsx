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erly" sheetId="1" state="visible" r:id="rId3"/>
    <sheet name="Chart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5" authorId="0">
      <text>
        <r>
          <rPr>
            <sz val="10"/>
            <rFont val="Arial"/>
            <family val="2"/>
          </rPr>
          <t xml:space="preserve">Yahoo Finance daily close, 2006-09-29.</t>
        </r>
      </text>
    </comment>
    <comment ref="S6" authorId="0">
      <text>
        <r>
          <rPr>
            <sz val="10"/>
            <rFont val="Arial"/>
            <family val="2"/>
          </rPr>
          <t xml:space="preserve">Yahoo Finance daily close, 2006-12-29.</t>
        </r>
      </text>
    </comment>
    <comment ref="S7" authorId="0">
      <text>
        <r>
          <rPr>
            <sz val="10"/>
            <rFont val="Arial"/>
            <family val="2"/>
          </rPr>
          <t xml:space="preserve">Yahoo Finance daily close, 2007-03-30.</t>
        </r>
      </text>
    </comment>
    <comment ref="S8" authorId="0">
      <text>
        <r>
          <rPr>
            <sz val="10"/>
            <rFont val="Arial"/>
            <family val="2"/>
          </rPr>
          <t xml:space="preserve">Yahoo Finance daily close, 2007-06-29.</t>
        </r>
      </text>
    </comment>
    <comment ref="S9" authorId="0">
      <text>
        <r>
          <rPr>
            <sz val="10"/>
            <rFont val="Arial"/>
            <family val="2"/>
          </rPr>
          <t xml:space="preserve">Yahoo Finance daily close, 2007-09-28.</t>
        </r>
      </text>
    </comment>
    <comment ref="S10" authorId="0">
      <text>
        <r>
          <rPr>
            <sz val="10"/>
            <rFont val="Arial"/>
            <family val="2"/>
          </rPr>
          <t xml:space="preserve">Yahoo Finance daily close, 2007-12-31.</t>
        </r>
      </text>
    </comment>
    <comment ref="S11" authorId="0">
      <text>
        <r>
          <rPr>
            <sz val="10"/>
            <rFont val="Arial"/>
            <family val="2"/>
          </rPr>
          <t xml:space="preserve">Yahoo Finance daily close, 2008-03-31.</t>
        </r>
      </text>
    </comment>
    <comment ref="S12" authorId="0">
      <text>
        <r>
          <rPr>
            <sz val="10"/>
            <rFont val="Arial"/>
            <family val="2"/>
          </rPr>
          <t xml:space="preserve">Yahoo Finance daily close, 2008-06-30.</t>
        </r>
      </text>
    </comment>
    <comment ref="S13" authorId="0">
      <text>
        <r>
          <rPr>
            <sz val="10"/>
            <rFont val="Arial"/>
            <family val="2"/>
          </rPr>
          <t xml:space="preserve">Yahoo Finance daily close, 2008-09-30.</t>
        </r>
      </text>
    </comment>
    <comment ref="S14" authorId="0">
      <text>
        <r>
          <rPr>
            <sz val="10"/>
            <rFont val="Arial"/>
            <family val="2"/>
          </rPr>
          <t xml:space="preserve">Yahoo Finance daily close, 2008-12-31.</t>
        </r>
      </text>
    </comment>
    <comment ref="S15" authorId="0">
      <text>
        <r>
          <rPr>
            <sz val="10"/>
            <rFont val="Arial"/>
            <family val="2"/>
          </rPr>
          <t xml:space="preserve">Yahoo Finance daily close, 2009-03-31.</t>
        </r>
      </text>
    </comment>
    <comment ref="S16" authorId="0">
      <text>
        <r>
          <rPr>
            <sz val="10"/>
            <rFont val="Arial"/>
            <family val="2"/>
          </rPr>
          <t xml:space="preserve">Yahoo Finance daily close, 2009-06-30.</t>
        </r>
      </text>
    </comment>
    <comment ref="S17" authorId="0">
      <text>
        <r>
          <rPr>
            <sz val="10"/>
            <rFont val="Arial"/>
            <family val="2"/>
          </rPr>
          <t xml:space="preserve">Yahoo Finance daily close, 2009-09-30.</t>
        </r>
      </text>
    </comment>
    <comment ref="S18" authorId="0">
      <text>
        <r>
          <rPr>
            <sz val="10"/>
            <rFont val="Arial"/>
            <family val="2"/>
          </rPr>
          <t xml:space="preserve">Yahoo Finance daily close, 2009-12-31.</t>
        </r>
      </text>
    </comment>
    <comment ref="S19" authorId="0">
      <text>
        <r>
          <rPr>
            <sz val="10"/>
            <rFont val="Arial"/>
            <family val="2"/>
          </rPr>
          <t xml:space="preserve">Yahoo Finance daily close, 2010-03-31.</t>
        </r>
      </text>
    </comment>
    <comment ref="S20" authorId="0">
      <text>
        <r>
          <rPr>
            <sz val="10"/>
            <rFont val="Arial"/>
            <family val="2"/>
          </rPr>
          <t xml:space="preserve">Yahoo Finance daily close, 2010-06-30.</t>
        </r>
      </text>
    </comment>
    <comment ref="S21" authorId="0">
      <text>
        <r>
          <rPr>
            <sz val="10"/>
            <rFont val="Arial"/>
            <family val="2"/>
          </rPr>
          <t xml:space="preserve">Yahoo Finance daily close, 2010-09-30.</t>
        </r>
      </text>
    </comment>
    <comment ref="S22" authorId="0">
      <text>
        <r>
          <rPr>
            <sz val="10"/>
            <rFont val="Arial"/>
            <family val="2"/>
          </rPr>
          <t xml:space="preserve">Yahoo Finance daily close, 2010-12-31.</t>
        </r>
      </text>
    </comment>
    <comment ref="S23" authorId="0">
      <text>
        <r>
          <rPr>
            <sz val="10"/>
            <rFont val="Arial"/>
            <family val="2"/>
          </rPr>
          <t xml:space="preserve">Yahoo Finance daily close, 2011-03-31.</t>
        </r>
      </text>
    </comment>
    <comment ref="S24" authorId="0">
      <text>
        <r>
          <rPr>
            <sz val="10"/>
            <rFont val="Arial"/>
            <family val="2"/>
          </rPr>
          <t xml:space="preserve">Yahoo Finance daily close, 2011-06-30.</t>
        </r>
      </text>
    </comment>
    <comment ref="S25" authorId="0">
      <text>
        <r>
          <rPr>
            <sz val="10"/>
            <rFont val="Arial"/>
            <family val="2"/>
          </rPr>
          <t xml:space="preserve">Yahoo Finance daily close, 2011-09-30.</t>
        </r>
      </text>
    </comment>
    <comment ref="S26" authorId="0">
      <text>
        <r>
          <rPr>
            <sz val="10"/>
            <rFont val="Arial"/>
            <family val="2"/>
          </rPr>
          <t xml:space="preserve">Yahoo Finance daily close, 2011-12-30.</t>
        </r>
      </text>
    </comment>
    <comment ref="S27" authorId="0">
      <text>
        <r>
          <rPr>
            <sz val="10"/>
            <rFont val="Arial"/>
            <family val="2"/>
          </rPr>
          <t xml:space="preserve">Yahoo Finance daily close, 2012-03-30.</t>
        </r>
      </text>
    </comment>
    <comment ref="S28" authorId="0">
      <text>
        <r>
          <rPr>
            <sz val="10"/>
            <rFont val="Arial"/>
            <family val="2"/>
          </rPr>
          <t xml:space="preserve">Yahoo Finance daily close, 2012-06-29.</t>
        </r>
      </text>
    </comment>
    <comment ref="S29" authorId="0">
      <text>
        <r>
          <rPr>
            <sz val="10"/>
            <rFont val="Arial"/>
            <family val="2"/>
          </rPr>
          <t xml:space="preserve">Yahoo Finance daily close, 2012-09-28.</t>
        </r>
      </text>
    </comment>
    <comment ref="S30" authorId="0">
      <text>
        <r>
          <rPr>
            <sz val="10"/>
            <rFont val="Arial"/>
            <family val="2"/>
          </rPr>
          <t xml:space="preserve">Yahoo Finance daily close, 2012-12-31.</t>
        </r>
      </text>
    </comment>
    <comment ref="S31" authorId="0">
      <text>
        <r>
          <rPr>
            <sz val="10"/>
            <rFont val="Arial"/>
            <family val="2"/>
          </rPr>
          <t xml:space="preserve">Yahoo Finance daily close, 2013-03-28.</t>
        </r>
      </text>
    </comment>
    <comment ref="S32" authorId="0">
      <text>
        <r>
          <rPr>
            <sz val="10"/>
            <rFont val="Arial"/>
            <family val="2"/>
          </rPr>
          <t xml:space="preserve">Yahoo Finance daily close, 2013-06-28.</t>
        </r>
      </text>
    </comment>
    <comment ref="S33" authorId="0">
      <text>
        <r>
          <rPr>
            <sz val="10"/>
            <rFont val="Arial"/>
            <family val="2"/>
          </rPr>
          <t xml:space="preserve">Yahoo Finance daily close, 2013-09-30.</t>
        </r>
      </text>
    </comment>
    <comment ref="S34" authorId="0">
      <text>
        <r>
          <rPr>
            <sz val="10"/>
            <rFont val="Arial"/>
            <family val="2"/>
          </rPr>
          <t xml:space="preserve">Yahoo Finance daily close, 2013-12-31.</t>
        </r>
      </text>
    </comment>
    <comment ref="S35" authorId="0">
      <text>
        <r>
          <rPr>
            <sz val="10"/>
            <rFont val="Arial"/>
            <family val="2"/>
          </rPr>
          <t xml:space="preserve">Yahoo Finance daily close, 2014-03-31.</t>
        </r>
      </text>
    </comment>
    <comment ref="S36" authorId="0">
      <text>
        <r>
          <rPr>
            <sz val="10"/>
            <rFont val="Arial"/>
            <family val="2"/>
          </rPr>
          <t xml:space="preserve">Yahoo Finance daily close, 2014-06-30.</t>
        </r>
      </text>
    </comment>
    <comment ref="S37" authorId="0">
      <text>
        <r>
          <rPr>
            <sz val="10"/>
            <rFont val="Arial"/>
            <family val="2"/>
          </rPr>
          <t xml:space="preserve">Yahoo Finance daily close, 2014-09-30.</t>
        </r>
      </text>
    </comment>
    <comment ref="S38" authorId="0">
      <text>
        <r>
          <rPr>
            <sz val="10"/>
            <rFont val="Arial"/>
            <family val="2"/>
          </rPr>
          <t xml:space="preserve">Yahoo Finance daily close, 2014-12-31.</t>
        </r>
      </text>
    </comment>
    <comment ref="S39" authorId="0">
      <text>
        <r>
          <rPr>
            <sz val="10"/>
            <rFont val="Arial"/>
            <family val="2"/>
          </rPr>
          <t xml:space="preserve">Yahoo Finance daily close, 2015-03-31.</t>
        </r>
      </text>
    </comment>
    <comment ref="S40" authorId="0">
      <text>
        <r>
          <rPr>
            <sz val="10"/>
            <rFont val="Arial"/>
            <family val="2"/>
          </rPr>
          <t xml:space="preserve">Yahoo Finance daily close, 2015-06-30.</t>
        </r>
      </text>
    </comment>
    <comment ref="S41" authorId="0">
      <text>
        <r>
          <rPr>
            <sz val="10"/>
            <rFont val="Arial"/>
            <family val="2"/>
          </rPr>
          <t xml:space="preserve">Yahoo Finance daily close, 2015-09-30.</t>
        </r>
      </text>
    </comment>
    <comment ref="S42" authorId="0">
      <text>
        <r>
          <rPr>
            <sz val="10"/>
            <rFont val="Arial"/>
            <family val="2"/>
          </rPr>
          <t xml:space="preserve">Yahoo Finance daily close, 2015-12-31.</t>
        </r>
      </text>
    </comment>
    <comment ref="S43" authorId="0">
      <text>
        <r>
          <rPr>
            <sz val="10"/>
            <rFont val="Arial"/>
            <family val="2"/>
          </rPr>
          <t xml:space="preserve">Yahoo Finance daily close, 2016-03-31.</t>
        </r>
      </text>
    </comment>
    <comment ref="S44" authorId="0">
      <text>
        <r>
          <rPr>
            <sz val="10"/>
            <rFont val="Arial"/>
            <family val="2"/>
          </rPr>
          <t xml:space="preserve">Yahoo Finance daily close, 2016-06-30.</t>
        </r>
      </text>
    </comment>
    <comment ref="S45" authorId="0">
      <text>
        <r>
          <rPr>
            <sz val="10"/>
            <rFont val="Arial"/>
            <family val="2"/>
          </rPr>
          <t xml:space="preserve">Yahoo Finance daily close, 2016-09-30.</t>
        </r>
      </text>
    </comment>
    <comment ref="S46" authorId="0">
      <text>
        <r>
          <rPr>
            <sz val="10"/>
            <rFont val="Arial"/>
            <family val="2"/>
          </rPr>
          <t xml:space="preserve">Yahoo Finance daily close, 2016-12-30.</t>
        </r>
      </text>
    </comment>
    <comment ref="S47" authorId="0">
      <text>
        <r>
          <rPr>
            <sz val="10"/>
            <rFont val="Arial"/>
            <family val="2"/>
          </rPr>
          <t xml:space="preserve">Yahoo Finance daily close, 2017-03-31.</t>
        </r>
      </text>
    </comment>
    <comment ref="S48" authorId="0">
      <text>
        <r>
          <rPr>
            <sz val="10"/>
            <rFont val="Arial"/>
            <family val="2"/>
          </rPr>
          <t xml:space="preserve">Yahoo Finance daily close, 2017-06-30.</t>
        </r>
      </text>
    </comment>
    <comment ref="S49" authorId="0">
      <text>
        <r>
          <rPr>
            <sz val="10"/>
            <rFont val="Arial"/>
            <family val="2"/>
          </rPr>
          <t xml:space="preserve">Yahoo Finance daily close, 2017-09-29.</t>
        </r>
      </text>
    </comment>
    <comment ref="S50" authorId="0">
      <text>
        <r>
          <rPr>
            <sz val="10"/>
            <rFont val="Arial"/>
            <family val="2"/>
          </rPr>
          <t xml:space="preserve">Yahoo Finance daily close, 2017-12-29.</t>
        </r>
      </text>
    </comment>
    <comment ref="S51" authorId="0">
      <text>
        <r>
          <rPr>
            <sz val="10"/>
            <rFont val="Arial"/>
            <family val="2"/>
          </rPr>
          <t xml:space="preserve">Yahoo Finance daily close, 2018-03-29.</t>
        </r>
      </text>
    </comment>
    <comment ref="S52" authorId="0">
      <text>
        <r>
          <rPr>
            <sz val="10"/>
            <rFont val="Arial"/>
            <family val="2"/>
          </rPr>
          <t xml:space="preserve">Yahoo Finance daily close, 2018-06-29.</t>
        </r>
      </text>
    </comment>
    <comment ref="S53" authorId="0">
      <text>
        <r>
          <rPr>
            <sz val="10"/>
            <rFont val="Arial"/>
            <family val="2"/>
          </rPr>
          <t xml:space="preserve">Yahoo Finance daily close, 2018-09-28.</t>
        </r>
      </text>
    </comment>
    <comment ref="S54" authorId="0">
      <text>
        <r>
          <rPr>
            <sz val="10"/>
            <rFont val="Arial"/>
            <family val="2"/>
          </rPr>
          <t xml:space="preserve">Yahoo Finance daily close, 2018-12-31.</t>
        </r>
      </text>
    </comment>
    <comment ref="S55" authorId="0">
      <text>
        <r>
          <rPr>
            <sz val="10"/>
            <rFont val="Arial"/>
            <family val="2"/>
          </rPr>
          <t xml:space="preserve">Yahoo Finance daily close, 2019-03-29.</t>
        </r>
      </text>
    </comment>
    <comment ref="S56" authorId="0">
      <text>
        <r>
          <rPr>
            <sz val="10"/>
            <rFont val="Arial"/>
            <family val="2"/>
          </rPr>
          <t xml:space="preserve">Yahoo Finance daily close, 2019-06-28.</t>
        </r>
      </text>
    </comment>
    <comment ref="S57" authorId="0">
      <text>
        <r>
          <rPr>
            <sz val="10"/>
            <rFont val="Arial"/>
            <family val="2"/>
          </rPr>
          <t xml:space="preserve">Yahoo Finance daily close, 2019-09-30.</t>
        </r>
      </text>
    </comment>
    <comment ref="S58" authorId="0">
      <text>
        <r>
          <rPr>
            <sz val="10"/>
            <rFont val="Arial"/>
            <family val="2"/>
          </rPr>
          <t xml:space="preserve">Yahoo Finance daily close, 2019-12-31.</t>
        </r>
      </text>
    </comment>
    <comment ref="S59" authorId="0">
      <text>
        <r>
          <rPr>
            <sz val="10"/>
            <rFont val="Arial"/>
            <family val="2"/>
          </rPr>
          <t xml:space="preserve">Yahoo Finance daily close, 2020-03-31.</t>
        </r>
      </text>
    </comment>
    <comment ref="S60" authorId="0">
      <text>
        <r>
          <rPr>
            <sz val="10"/>
            <rFont val="Arial"/>
            <family val="2"/>
          </rPr>
          <t xml:space="preserve">Yahoo Finance daily close, 2020-06-30.</t>
        </r>
      </text>
    </comment>
    <comment ref="S61" authorId="0">
      <text>
        <r>
          <rPr>
            <sz val="10"/>
            <rFont val="Arial"/>
            <family val="2"/>
          </rPr>
          <t xml:space="preserve">Yahoo Finance daily close, 2020-09-30.</t>
        </r>
      </text>
    </comment>
    <comment ref="S62" authorId="0">
      <text>
        <r>
          <rPr>
            <sz val="10"/>
            <rFont val="Arial"/>
            <family val="2"/>
          </rPr>
          <t xml:space="preserve">Yahoo Finance daily close, 2020-12-31.</t>
        </r>
      </text>
    </comment>
    <comment ref="S63" authorId="0">
      <text>
        <r>
          <rPr>
            <sz val="10"/>
            <rFont val="Arial"/>
            <family val="2"/>
          </rPr>
          <t xml:space="preserve">Yahoo Finance daily close, 2021-03-31.</t>
        </r>
      </text>
    </comment>
    <comment ref="S64" authorId="0">
      <text>
        <r>
          <rPr>
            <sz val="10"/>
            <rFont val="Arial"/>
            <family val="2"/>
          </rPr>
          <t xml:space="preserve">Yahoo Finance daily close, 2021-06-30.</t>
        </r>
      </text>
    </comment>
    <comment ref="S65" authorId="0">
      <text>
        <r>
          <rPr>
            <sz val="10"/>
            <rFont val="Arial"/>
            <family val="2"/>
          </rPr>
          <t xml:space="preserve">Yahoo Finance daily close, 2021-09-30.</t>
        </r>
      </text>
    </comment>
    <comment ref="S66" authorId="0">
      <text>
        <r>
          <rPr>
            <sz val="10"/>
            <rFont val="Arial"/>
            <family val="2"/>
          </rPr>
          <t xml:space="preserve">Yahoo Finance daily close, 2021-12-31.</t>
        </r>
      </text>
    </comment>
    <comment ref="S67" authorId="0">
      <text>
        <r>
          <rPr>
            <sz val="10"/>
            <rFont val="Arial"/>
            <family val="2"/>
          </rPr>
          <t xml:space="preserve">Yahoo Finance daily close, 2022-03-31.</t>
        </r>
      </text>
    </comment>
    <comment ref="S68" authorId="0">
      <text>
        <r>
          <rPr>
            <sz val="10"/>
            <rFont val="Arial"/>
            <family val="2"/>
          </rPr>
          <t xml:space="preserve">Yahoo Finance daily close, 2022-06-30.</t>
        </r>
      </text>
    </comment>
    <comment ref="S69" authorId="0">
      <text>
        <r>
          <rPr>
            <sz val="10"/>
            <rFont val="Arial"/>
            <family val="2"/>
          </rPr>
          <t xml:space="preserve">Yahoo Finance daily close, 2022-09-30.</t>
        </r>
      </text>
    </comment>
    <comment ref="S70" authorId="0">
      <text>
        <r>
          <rPr>
            <sz val="10"/>
            <rFont val="Arial"/>
            <family val="2"/>
          </rPr>
          <t xml:space="preserve">Yahoo Finance daily close, 2022-12-30.</t>
        </r>
      </text>
    </comment>
    <comment ref="S71" authorId="0">
      <text>
        <r>
          <rPr>
            <sz val="10"/>
            <rFont val="Arial"/>
            <family val="2"/>
          </rPr>
          <t xml:space="preserve">Yahoo Finance daily close, 2023-03-31.</t>
        </r>
      </text>
    </comment>
    <comment ref="S72" authorId="0">
      <text>
        <r>
          <rPr>
            <sz val="10"/>
            <rFont val="Arial"/>
            <family val="2"/>
          </rPr>
          <t xml:space="preserve">Yahoo Finance daily close, 2023-06-30.</t>
        </r>
      </text>
    </comment>
    <comment ref="S73" authorId="0">
      <text>
        <r>
          <rPr>
            <sz val="10"/>
            <rFont val="Arial"/>
            <family val="2"/>
          </rPr>
          <t xml:space="preserve">Yahoo Finance daily close, 2023-09-29.</t>
        </r>
      </text>
    </comment>
    <comment ref="S74" authorId="0">
      <text>
        <r>
          <rPr>
            <sz val="10"/>
            <rFont val="Arial"/>
            <family val="2"/>
          </rPr>
          <t xml:space="preserve">Yahoo Finance daily close, 2023-12-29.</t>
        </r>
      </text>
    </comment>
    <comment ref="S75" authorId="0">
      <text>
        <r>
          <rPr>
            <sz val="10"/>
            <rFont val="Arial"/>
            <family val="2"/>
          </rPr>
          <t xml:space="preserve">Yahoo Finance daily close, 2024-03-28.</t>
        </r>
      </text>
    </comment>
    <comment ref="S76" authorId="0">
      <text>
        <r>
          <rPr>
            <sz val="10"/>
            <rFont val="Arial"/>
            <family val="2"/>
          </rPr>
          <t xml:space="preserve">Yahoo Finance daily close, 2024-06-28.</t>
        </r>
      </text>
    </comment>
    <comment ref="S77" authorId="0">
      <text>
        <r>
          <rPr>
            <sz val="10"/>
            <rFont val="Arial"/>
            <family val="2"/>
          </rPr>
          <t xml:space="preserve">Yahoo Finance daily close, 2024-09-30.</t>
        </r>
      </text>
    </comment>
    <comment ref="S78" authorId="0">
      <text>
        <r>
          <rPr>
            <sz val="10"/>
            <rFont val="Arial"/>
            <family val="2"/>
          </rPr>
          <t xml:space="preserve">Yahoo Finance daily close, 2024-12-31.</t>
        </r>
      </text>
    </comment>
    <comment ref="S79" authorId="0">
      <text>
        <r>
          <rPr>
            <sz val="10"/>
            <rFont val="Arial"/>
            <family val="2"/>
          </rPr>
          <t xml:space="preserve">Yahoo Finance daily close, 2025-03-31.</t>
        </r>
      </text>
    </comment>
    <comment ref="S80" authorId="0">
      <text>
        <r>
          <rPr>
            <sz val="10"/>
            <rFont val="Arial"/>
            <family val="2"/>
          </rPr>
          <t xml:space="preserve">Yahoo Finance daily close, 2025-06-30.</t>
        </r>
      </text>
    </comment>
    <comment ref="S81" authorId="0">
      <text>
        <r>
          <rPr>
            <sz val="10"/>
            <rFont val="Arial"/>
            <family val="2"/>
          </rPr>
          <t xml:space="preserve">Yahoo Finance daily close, 2025-09-30.</t>
        </r>
      </text>
    </comment>
    <comment ref="S82" authorId="0">
      <text>
        <r>
          <rPr>
            <sz val="10"/>
            <rFont val="Arial"/>
            <family val="2"/>
          </rPr>
          <t xml:space="preserve">Yahoo Finance daily close, 2025-12-31.</t>
        </r>
      </text>
    </comment>
    <comment ref="S83" authorId="0">
      <text>
        <r>
          <rPr>
            <sz val="10"/>
            <rFont val="Arial"/>
            <family val="2"/>
          </rPr>
          <t xml:space="preserve">Yahoo Finance daily close, 2026-03-31.</t>
        </r>
      </text>
    </comment>
    <comment ref="S84" authorId="0">
      <text>
        <r>
          <rPr>
            <sz val="10"/>
            <rFont val="Arial"/>
            <family val="2"/>
          </rPr>
          <t xml:space="preserve">Yahoo Finance daily close, 2026-06-30.</t>
        </r>
      </text>
    </comment>
    <comment ref="S86" authorId="0">
      <text>
        <r>
          <rPr>
            <sz val="10"/>
            <rFont val="Arial"/>
            <family val="2"/>
          </rPr>
          <t xml:space="preserve">Yahoo Finance close, 6-Oct-2026 (matches user-provided price).</t>
        </r>
      </text>
    </comment>
  </commentList>
</comments>
</file>

<file path=xl/sharedStrings.xml><?xml version="1.0" encoding="utf-8"?>
<sst xmlns="http://schemas.openxmlformats.org/spreadsheetml/2006/main" count="207" uniqueCount="144">
  <si>
    <t xml:space="preserve">Evercore (EVR) - Quarterly Results, Margins and P/E Since IPO (Aug-2006)</t>
  </si>
  <si>
    <t xml:space="preserve">$ in millions except per share. Blue = reported data (source in column W and cell comments); black = formula. P/E = quarter-end close / sum of last four quarters' EPS; 'n/m' where TTM EPS &lt;= 0 or incomplete.</t>
  </si>
  <si>
    <t xml:space="preserve">Quarter</t>
  </si>
  <si>
    <t xml:space="preserve">Period end</t>
  </si>
  <si>
    <t xml:space="preserve">Net revenues</t>
  </si>
  <si>
    <t xml:space="preserve">Revenue YoY</t>
  </si>
  <si>
    <t xml:space="preserve">Comp &amp; benefits</t>
  </si>
  <si>
    <t xml:space="preserve">Non-comp opex</t>
  </si>
  <si>
    <t xml:space="preserve">Total opex</t>
  </si>
  <si>
    <t xml:space="preserve">Operating income</t>
  </si>
  <si>
    <t xml:space="preserve">Net income to EVR</t>
  </si>
  <si>
    <t xml:space="preserve">GAAP diluted EPS</t>
  </si>
  <si>
    <t xml:space="preserve">Adjusted diluted EPS</t>
  </si>
  <si>
    <t xml:space="preserve">Comp ratio</t>
  </si>
  <si>
    <t xml:space="preserve">Operating margin</t>
  </si>
  <si>
    <t xml:space="preserve">Net margin</t>
  </si>
  <si>
    <t xml:space="preserve">TTM net revenues</t>
  </si>
  <si>
    <t xml:space="preserve">TTM operating margin</t>
  </si>
  <si>
    <t xml:space="preserve">TTM GAAP EPS</t>
  </si>
  <si>
    <t xml:space="preserve">TTM Adjusted EPS</t>
  </si>
  <si>
    <t xml:space="preserve">Quarter-end close ($)</t>
  </si>
  <si>
    <t xml:space="preserve">P/E on TTM GAAP EPS</t>
  </si>
  <si>
    <t xml:space="preserve">P/E on TTM Adjusted EPS</t>
  </si>
  <si>
    <t xml:space="preserve">Source / note</t>
  </si>
  <si>
    <t xml:space="preserve">Q3 2006</t>
  </si>
  <si>
    <t xml:space="preserve">n/m</t>
  </si>
  <si>
    <t xml:space="preserve">Q3 2006 = predecessor (1-Jul to 9-Aug) + successor (10-Aug to 30-Sep) aggregate; pre-IPO partner pay not in comp, so margins not comparable; EPS n/m. Release 8-K 1-Nov-2007 restated table.</t>
  </si>
  <si>
    <t xml:space="preserve">Q4 2006</t>
  </si>
  <si>
    <t xml:space="preserve">Release 8-K 12-Feb-2008, Q4 2006 column.</t>
  </si>
  <si>
    <t xml:space="preserve">Q1 2007</t>
  </si>
  <si>
    <t xml:space="preserve">Release 8-K 12-May-2008, Q1 2007 column.</t>
  </si>
  <si>
    <t xml:space="preserve">Q2 2007</t>
  </si>
  <si>
    <t xml:space="preserve">Release 8-K 24-Jul-2008, Q2 2007 column. Includes $126.0mm non-cash vesting charge tied to May-2007 follow-on offering.</t>
  </si>
  <si>
    <t xml:space="preserve">Q3 2007</t>
  </si>
  <si>
    <t xml:space="preserve">Release 8-K 30-Oct-2008, Q3 2007 column.</t>
  </si>
  <si>
    <t xml:space="preserve">Q4 2007</t>
  </si>
  <si>
    <t xml:space="preserve">Release 8-K 5-Feb-2009, Q4 2007 column.</t>
  </si>
  <si>
    <t xml:space="preserve">Q1 2008</t>
  </si>
  <si>
    <t xml:space="preserve">Release 8-K 12-May-2008.</t>
  </si>
  <si>
    <t xml:space="preserve">Q2 2008</t>
  </si>
  <si>
    <t xml:space="preserve">Release 8-K 24-Jul-2008.</t>
  </si>
  <si>
    <t xml:space="preserve">Q3 2008</t>
  </si>
  <si>
    <t xml:space="preserve">Release 8-K 30-Oct-2008.</t>
  </si>
  <si>
    <t xml:space="preserve">Q4 2008</t>
  </si>
  <si>
    <t xml:space="preserve">Release 8-K 5-Feb-2009.</t>
  </si>
  <si>
    <t xml:space="preserve">Q1 2009</t>
  </si>
  <si>
    <t xml:space="preserve">Release 8-K 30-Apr-2009.</t>
  </si>
  <si>
    <t xml:space="preserve">Q2 2009</t>
  </si>
  <si>
    <t xml:space="preserve">Release 8-K 29-Jul-2009. Includes $16.1mm special charges.</t>
  </si>
  <si>
    <t xml:space="preserve">Q3 2009</t>
  </si>
  <si>
    <t xml:space="preserve">Release 8-K 28-Oct-2009.</t>
  </si>
  <si>
    <t xml:space="preserve">Q4 2009</t>
  </si>
  <si>
    <t xml:space="preserve">Release 8-K 2-Feb-2010.</t>
  </si>
  <si>
    <t xml:space="preserve">Q1 2010</t>
  </si>
  <si>
    <t xml:space="preserve">SEC XBRL companyfacts; comp from Q1-10 release (pre-reclass)</t>
  </si>
  <si>
    <t xml:space="preserve">Q2 2010</t>
  </si>
  <si>
    <t xml:space="preserve">SEC XBRL companyfacts</t>
  </si>
  <si>
    <t xml:space="preserve">Q3 2010</t>
  </si>
  <si>
    <t xml:space="preserve">Q4 2010</t>
  </si>
  <si>
    <t xml:space="preserve">SEC XBRL companyfacts (Q4 = FY less 9M)</t>
  </si>
  <si>
    <t xml:space="preserve">Q1 2011</t>
  </si>
  <si>
    <t xml:space="preserve">Q2 2011</t>
  </si>
  <si>
    <t xml:space="preserve">Q3 2011</t>
  </si>
  <si>
    <t xml:space="preserve">Q4 2011</t>
  </si>
  <si>
    <t xml:space="preserve">Q1 2012</t>
  </si>
  <si>
    <t xml:space="preserve">Q2 2012</t>
  </si>
  <si>
    <t xml:space="preserve">Q3 2012</t>
  </si>
  <si>
    <t xml:space="preserve">Q4 2012</t>
  </si>
  <si>
    <t xml:space="preserve">Q1 2013</t>
  </si>
  <si>
    <t xml:space="preserve">Q2 2013</t>
  </si>
  <si>
    <t xml:space="preserve">Q3 2013</t>
  </si>
  <si>
    <t xml:space="preserve">Q4 2013</t>
  </si>
  <si>
    <t xml:space="preserve">Q1 2014</t>
  </si>
  <si>
    <t xml:space="preserve">Q2 2014</t>
  </si>
  <si>
    <t xml:space="preserve">Q3 2014</t>
  </si>
  <si>
    <t xml:space="preserve">Q4 2014</t>
  </si>
  <si>
    <t xml:space="preserve">Q1 2015</t>
  </si>
  <si>
    <t xml:space="preserve">Q2 2015</t>
  </si>
  <si>
    <t xml:space="preserve">Q3 2015</t>
  </si>
  <si>
    <t xml:space="preserve">Q4 2015</t>
  </si>
  <si>
    <t xml:space="preserve">Q1 2016</t>
  </si>
  <si>
    <t xml:space="preserve">Q2 2016</t>
  </si>
  <si>
    <t xml:space="preserve">Q3 2016</t>
  </si>
  <si>
    <t xml:space="preserve">Q4 2016</t>
  </si>
  <si>
    <t xml:space="preserve">Q1 2017</t>
  </si>
  <si>
    <t xml:space="preserve">Q2 2017</t>
  </si>
  <si>
    <t xml:space="preserve">Q3 2017</t>
  </si>
  <si>
    <t xml:space="preserve">Q4 2017</t>
  </si>
  <si>
    <t xml:space="preserve">Q1 2018</t>
  </si>
  <si>
    <t xml:space="preserve">Q2 2018</t>
  </si>
  <si>
    <t xml:space="preserve">Q3 2018</t>
  </si>
  <si>
    <t xml:space="preserve">Q4 2018</t>
  </si>
  <si>
    <t xml:space="preserve">Q1 2019</t>
  </si>
  <si>
    <t xml:space="preserve">Q2 2019</t>
  </si>
  <si>
    <t xml:space="preserve">Q3 2019</t>
  </si>
  <si>
    <t xml:space="preserve">Q4 2019</t>
  </si>
  <si>
    <t xml:space="preserve">Q1 2020</t>
  </si>
  <si>
    <t xml:space="preserve">Q2 2020</t>
  </si>
  <si>
    <t xml:space="preserve">Q3 2020</t>
  </si>
  <si>
    <t xml:space="preserve">Q4 2020</t>
  </si>
  <si>
    <t xml:space="preserve">Q1 2021</t>
  </si>
  <si>
    <t xml:space="preserve">Q2 2021</t>
  </si>
  <si>
    <t xml:space="preserve">Q3 2021</t>
  </si>
  <si>
    <t xml:space="preserve">Q4 2021</t>
  </si>
  <si>
    <t xml:space="preserve">SEC XBRL companyfacts (Q4 = FY less 9M); Q4 EPS from Q4 release</t>
  </si>
  <si>
    <t xml:space="preserve">Q1 2022</t>
  </si>
  <si>
    <t xml:space="preserve">Q2 2022</t>
  </si>
  <si>
    <t xml:space="preserve">Q3 2022</t>
  </si>
  <si>
    <t xml:space="preserve">Q4 2022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</si>
  <si>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</si>
  <si>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</si>
  <si>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</si>
  <si>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</si>
  <si>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</si>
  <si>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</si>
  <si>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</si>
  <si>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</si>
  <si>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</si>
  <si>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</si>
  <si>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</si>
  <si>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</si>
  <si>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Q1 2026</t>
  </si>
  <si>
    <t xml:space="preserve">Q2 2026</t>
  </si>
  <si>
    <t xml:space="preserve">Latest</t>
  </si>
  <si>
    <t xml:space="preserve">Price 6-Oct-2026 over TTM EPS through Q2 2026 (latest reported quarter).</t>
  </si>
  <si>
    <t xml:space="preserve">Through-cycle statistics (Q1 2010 - Q2 2026; excludes IPO / 2008-09 distortions)</t>
  </si>
  <si>
    <t xml:space="preserve">Median</t>
  </si>
  <si>
    <t xml:space="preserve">Text 'n/m' cells are ignored by MEDIAN/MIN/MAX/AVERAGE.</t>
  </si>
  <si>
    <t xml:space="preserve">Minimum</t>
  </si>
  <si>
    <t xml:space="preserve">Maximum</t>
  </si>
  <si>
    <t xml:space="preserve">Average</t>
  </si>
  <si>
    <t xml:space="preserve">Evercore - Quarterly History Charts</t>
  </si>
  <si>
    <t xml:space="preserve">SOURCES</t>
  </si>
  <si>
    <t xml:space="preserve">Q1 2010 - Q2 2026 GAAP: SEC EDGAR XBRL companyfacts (CIK 0001360901), latest filed value per quarter; Q4 = full year less nine months where no discrete Q4 fact exists. Q4 2021-2025 GAAP EPS taken from the Q4 earnings releases.</t>
  </si>
  <si>
    <t xml:space="preserve">Q3 2006 - Q4 2009 GAAP: condensed consolidated statements of operations in Evercore's earnings releases (8-K Ex. 99.1).</t>
  </si>
  <si>
    <t xml:space="preserve">Adjusted EPS: company's 'Adjusted' / 'Adjusted Pro Forma' diluted EPS as first reported in each quarter's earnings release (79 releases, Nov-2006 to Jul-2026). Q1 2007 = six-month figure less Q2 (no Q1 2007 release; first release after IPO covered Q3 2006). Q2 2009 = $0.10 as reported (company also showed $0.30 excluding one-time costs).</t>
  </si>
  <si>
    <t xml:space="preserve">Prices: Yahoo Finance daily closes (not dividend-adjusted; EVR has had no splits).</t>
  </si>
  <si>
    <t xml:space="preserve">CAVEATS</t>
  </si>
  <si>
    <t xml:space="preserve">1. The IPO was 10-Aug-2006. Q3 2006 combines predecessor and successor periods; before the IPO, partners' pay was a distribution, not compensation expense, so Q3 2006 margins are not comparable.</t>
  </si>
  <si>
    <t xml:space="preserve">2. GAAP EPS and GAAP P/E are distorted by one-offs: Q2 2007 IPO-related vesting charge ($126mm), 2009 special charges, Q4 2017 tax-reform remeasurement, and (through ~2016) the LP-unit structure that pushed earnings to noncontrolling interests. Adjusted P/E is the usable series; it is also the basis of consensus.</t>
  </si>
  <si>
    <t xml:space="preserve">3. Adjusted definitions changed over time (e.g. 2018 gross-up of client expenses, 2016 removal of 'Pro Forma'). Values are as first reported, not restated.</t>
  </si>
  <si>
    <t xml:space="preserve">4. TTM EPS = sum of four quarterly EPS figures, which differs slightly from a full-year EPS because share counts vary.</t>
  </si>
  <si>
    <t xml:space="preserve">5. GAAP revenue/expense figures for some early XBRL quarters were later reclassified; latest filed values are used, so they can differ by ~1% from the original release.</t>
  </si>
  <si>
    <t xml:space="preserve">6. Comp ratio for Q1 2010 is from the Q1 2010 release (no XBRL fact).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</si>
</sst>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\$#,##0.0;&quot;($&quot;#,##0.0\);\-"/>
    <numFmt numFmtId="167" formatCode="\$#,##0.00;&quot;($&quot;#,##0.00\);\-"/>
    <numFmt numFmtId="168" formatCode="0.0%;\(0.0%\);\-"/>
    <numFmt numFmtId="169" formatCode="0.0\x;\(0.0&quot;x)&quot;;\-"/>
    <numFmt numFmtId="170" formatCode="0\x"/>
    <numFmt numFmtId="171" formatCode="0%"/>
    <numFmt numFmtId="172" formatCode="#,##0"/>
    <numFmt numFmtId="173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P/E on TTM Adjusted EPS (quarter-end)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"P/E (TTM Adjusted)"</c:f>
              <c:strCache>
                <c:ptCount val="1"/>
                <c:pt idx="0">
                  <c:v>P/E (TTM Adjusted)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Quarterly!$B$8:$B$84</c:f>
              <c:strCache>
                <c:ptCount val="77"/>
                <c:pt idx="0">
                  <c:v>2007-06-30</c:v>
                </c:pt>
                <c:pt idx="1">
                  <c:v>2007-09-30</c:v>
                </c:pt>
                <c:pt idx="2">
                  <c:v>2007-12-31</c:v>
                </c:pt>
                <c:pt idx="3">
                  <c:v>2008-03-31</c:v>
                </c:pt>
                <c:pt idx="4">
                  <c:v>2008-06-30</c:v>
                </c:pt>
                <c:pt idx="5">
                  <c:v>2008-09-30</c:v>
                </c:pt>
                <c:pt idx="6">
                  <c:v>2008-12-31</c:v>
                </c:pt>
                <c:pt idx="7">
                  <c:v>2009-03-31</c:v>
                </c:pt>
                <c:pt idx="8">
                  <c:v>2009-06-30</c:v>
                </c:pt>
                <c:pt idx="9">
                  <c:v>2009-09-30</c:v>
                </c:pt>
                <c:pt idx="10">
                  <c:v>2009-12-31</c:v>
                </c:pt>
                <c:pt idx="11">
                  <c:v>2010-03-31</c:v>
                </c:pt>
                <c:pt idx="12">
                  <c:v>2010-06-30</c:v>
                </c:pt>
                <c:pt idx="13">
                  <c:v>2010-09-30</c:v>
                </c:pt>
                <c:pt idx="14">
                  <c:v>2010-12-31</c:v>
                </c:pt>
                <c:pt idx="15">
                  <c:v>2011-03-31</c:v>
                </c:pt>
                <c:pt idx="16">
                  <c:v>2011-06-30</c:v>
                </c:pt>
                <c:pt idx="17">
                  <c:v>2011-09-30</c:v>
                </c:pt>
                <c:pt idx="18">
                  <c:v>2011-12-31</c:v>
                </c:pt>
                <c:pt idx="19">
                  <c:v>2012-03-31</c:v>
                </c:pt>
                <c:pt idx="20">
                  <c:v>2012-06-30</c:v>
                </c:pt>
                <c:pt idx="21">
                  <c:v>2012-09-30</c:v>
                </c:pt>
                <c:pt idx="22">
                  <c:v>2012-12-31</c:v>
                </c:pt>
                <c:pt idx="23">
                  <c:v>2013-03-31</c:v>
                </c:pt>
                <c:pt idx="24">
                  <c:v>2013-06-30</c:v>
                </c:pt>
                <c:pt idx="25">
                  <c:v>2013-09-30</c:v>
                </c:pt>
                <c:pt idx="26">
                  <c:v>2013-12-31</c:v>
                </c:pt>
                <c:pt idx="27">
                  <c:v>2014-03-31</c:v>
                </c:pt>
                <c:pt idx="28">
                  <c:v>2014-06-30</c:v>
                </c:pt>
                <c:pt idx="29">
                  <c:v>2014-09-30</c:v>
                </c:pt>
                <c:pt idx="30">
                  <c:v>2014-12-31</c:v>
                </c:pt>
                <c:pt idx="31">
                  <c:v>2015-03-31</c:v>
                </c:pt>
                <c:pt idx="32">
                  <c:v>2015-06-30</c:v>
                </c:pt>
                <c:pt idx="33">
                  <c:v>2015-09-30</c:v>
                </c:pt>
                <c:pt idx="34">
                  <c:v>2015-12-31</c:v>
                </c:pt>
                <c:pt idx="35">
                  <c:v>2016-03-31</c:v>
                </c:pt>
                <c:pt idx="36">
                  <c:v>2016-06-30</c:v>
                </c:pt>
                <c:pt idx="37">
                  <c:v>2016-09-30</c:v>
                </c:pt>
                <c:pt idx="38">
                  <c:v>2016-12-31</c:v>
                </c:pt>
                <c:pt idx="39">
                  <c:v>2017-03-31</c:v>
                </c:pt>
                <c:pt idx="40">
                  <c:v>2017-06-30</c:v>
                </c:pt>
                <c:pt idx="41">
                  <c:v>2017-09-30</c:v>
                </c:pt>
                <c:pt idx="42">
                  <c:v>2017-12-31</c:v>
                </c:pt>
                <c:pt idx="43">
                  <c:v>2018-03-31</c:v>
                </c:pt>
                <c:pt idx="44">
                  <c:v>2018-06-30</c:v>
                </c:pt>
                <c:pt idx="45">
                  <c:v>2018-09-30</c:v>
                </c:pt>
                <c:pt idx="46">
                  <c:v>2018-12-31</c:v>
                </c:pt>
                <c:pt idx="47">
                  <c:v>2019-03-31</c:v>
                </c:pt>
                <c:pt idx="48">
                  <c:v>2019-06-30</c:v>
                </c:pt>
                <c:pt idx="49">
                  <c:v>2019-09-30</c:v>
                </c:pt>
                <c:pt idx="50">
                  <c:v>2019-12-31</c:v>
                </c:pt>
                <c:pt idx="51">
                  <c:v>2020-03-31</c:v>
                </c:pt>
                <c:pt idx="52">
                  <c:v>2020-06-30</c:v>
                </c:pt>
                <c:pt idx="53">
                  <c:v>2020-09-30</c:v>
                </c:pt>
                <c:pt idx="54">
                  <c:v>2020-12-31</c:v>
                </c:pt>
                <c:pt idx="55">
                  <c:v>2021-03-31</c:v>
                </c:pt>
                <c:pt idx="56">
                  <c:v>2021-06-30</c:v>
                </c:pt>
                <c:pt idx="57">
                  <c:v>2021-09-30</c:v>
                </c:pt>
                <c:pt idx="58">
                  <c:v>2021-12-31</c:v>
                </c:pt>
                <c:pt idx="59">
                  <c:v>2022-03-31</c:v>
                </c:pt>
                <c:pt idx="60">
                  <c:v>2022-06-30</c:v>
                </c:pt>
                <c:pt idx="61">
                  <c:v>2022-09-30</c:v>
                </c:pt>
                <c:pt idx="62">
                  <c:v>2022-12-31</c:v>
                </c:pt>
                <c:pt idx="63">
                  <c:v>2023-03-31</c:v>
                </c:pt>
                <c:pt idx="64">
                  <c:v>2023-06-30</c:v>
                </c:pt>
                <c:pt idx="65">
                  <c:v>2023-09-30</c:v>
                </c:pt>
                <c:pt idx="66">
                  <c:v>2023-12-31</c:v>
                </c:pt>
                <c:pt idx="67">
                  <c:v>2024-03-31</c:v>
                </c:pt>
                <c:pt idx="68">
                  <c:v>2024-06-30</c:v>
                </c:pt>
                <c:pt idx="69">
                  <c:v>2024-09-30</c:v>
                </c:pt>
                <c:pt idx="70">
                  <c:v>2024-12-31</c:v>
                </c:pt>
                <c:pt idx="71">
                  <c:v>2025-03-31</c:v>
                </c:pt>
                <c:pt idx="72">
                  <c:v>2025-06-30</c:v>
                </c:pt>
                <c:pt idx="73">
                  <c:v>2025-09-30</c:v>
                </c:pt>
                <c:pt idx="74">
                  <c:v>2025-12-31</c:v>
                </c:pt>
                <c:pt idx="75">
                  <c:v>2026-03-31</c:v>
                </c:pt>
                <c:pt idx="76">
                  <c:v>2026-06-30</c:v>
                </c:pt>
              </c:strCache>
            </c:strRef>
          </c:cat>
          <c:val>
            <c:numRef>
              <c:f>Quarterly!$U$8:$U$84</c:f>
              <c:numCache>
                <c:formatCode>0.0\x;\(0.0"x)";\-</c:formatCode>
                <c:ptCount val="77"/>
                <c:pt idx="0">
                  <c:v>17.3081395348837</c:v>
                </c:pt>
                <c:pt idx="1">
                  <c:v>15.1965317919075</c:v>
                </c:pt>
                <c:pt idx="2">
                  <c:v>13.8141025641026</c:v>
                </c:pt>
                <c:pt idx="3">
                  <c:v>15.1709401709402</c:v>
                </c:pt>
                <c:pt idx="4">
                  <c:v>10.9195402298851</c:v>
                </c:pt>
                <c:pt idx="5">
                  <c:v>27.6615384615385</c:v>
                </c:pt>
                <c:pt idx="6">
                  <c:v>104.083333333333</c:v>
                </c:pt>
                <c:pt idx="7">
                  <c:v>386.25</c:v>
                </c:pt>
                <c:pt idx="9">
                  <c:v>153.789473684211</c:v>
                </c:pt>
                <c:pt idx="10">
                  <c:v>35.7647058823529</c:v>
                </c:pt>
                <c:pt idx="11">
                  <c:v>28.3018867924528</c:v>
                </c:pt>
                <c:pt idx="12">
                  <c:v>23.1188118811881</c:v>
                </c:pt>
                <c:pt idx="13">
                  <c:v>26.0090909090909</c:v>
                </c:pt>
                <c:pt idx="14">
                  <c:v>35.4166666666667</c:v>
                </c:pt>
                <c:pt idx="15">
                  <c:v>34.9897959183673</c:v>
                </c:pt>
                <c:pt idx="16">
                  <c:v>24.5</c:v>
                </c:pt>
                <c:pt idx="17">
                  <c:v>15.8333333333333</c:v>
                </c:pt>
                <c:pt idx="18">
                  <c:v>17.8657718120805</c:v>
                </c:pt>
                <c:pt idx="19">
                  <c:v>22.1908396946565</c:v>
                </c:pt>
                <c:pt idx="20">
                  <c:v>17.0729927007299</c:v>
                </c:pt>
                <c:pt idx="21">
                  <c:v>20.6106870229008</c:v>
                </c:pt>
                <c:pt idx="22">
                  <c:v>16.7722222222222</c:v>
                </c:pt>
                <c:pt idx="23">
                  <c:v>20.0966183574879</c:v>
                </c:pt>
                <c:pt idx="24">
                  <c:v>17.6143497757848</c:v>
                </c:pt>
                <c:pt idx="25">
                  <c:v>20.8601694915254</c:v>
                </c:pt>
                <c:pt idx="26">
                  <c:v>26.4513274336283</c:v>
                </c:pt>
                <c:pt idx="27">
                  <c:v>25.1136363636364</c:v>
                </c:pt>
                <c:pt idx="28">
                  <c:v>26.0814479638009</c:v>
                </c:pt>
                <c:pt idx="29">
                  <c:v>19.6652719665272</c:v>
                </c:pt>
                <c:pt idx="30">
                  <c:v>20.2984496124031</c:v>
                </c:pt>
                <c:pt idx="31">
                  <c:v>18.2544169611307</c:v>
                </c:pt>
                <c:pt idx="32">
                  <c:v>19.1347517730496</c:v>
                </c:pt>
                <c:pt idx="33">
                  <c:v>17.2054794520548</c:v>
                </c:pt>
                <c:pt idx="34">
                  <c:v>16.6882716049383</c:v>
                </c:pt>
                <c:pt idx="35">
                  <c:v>15.6344410876133</c:v>
                </c:pt>
                <c:pt idx="36">
                  <c:v>11.9432432432432</c:v>
                </c:pt>
                <c:pt idx="37">
                  <c:v>12.5328467153285</c:v>
                </c:pt>
                <c:pt idx="38">
                  <c:v>15.9027777777778</c:v>
                </c:pt>
                <c:pt idx="39">
                  <c:v>14.6981132075472</c:v>
                </c:pt>
                <c:pt idx="40">
                  <c:v>13.2518796992481</c:v>
                </c:pt>
                <c:pt idx="41">
                  <c:v>15.0845864661654</c:v>
                </c:pt>
                <c:pt idx="42">
                  <c:v>16.5441176470588</c:v>
                </c:pt>
                <c:pt idx="43">
                  <c:v>14.3657331136738</c:v>
                </c:pt>
                <c:pt idx="44">
                  <c:v>15.8333333333333</c:v>
                </c:pt>
                <c:pt idx="45">
                  <c:v>15.0749625187406</c:v>
                </c:pt>
                <c:pt idx="46">
                  <c:v>7.90718232044199</c:v>
                </c:pt>
                <c:pt idx="47">
                  <c:v>10.7438016528926</c:v>
                </c:pt>
                <c:pt idx="48">
                  <c:v>9.96287964004499</c:v>
                </c:pt>
                <c:pt idx="49">
                  <c:v>8.97982062780269</c:v>
                </c:pt>
                <c:pt idx="50">
                  <c:v>9.69649805447471</c:v>
                </c:pt>
                <c:pt idx="51">
                  <c:v>6.34435261707989</c:v>
                </c:pt>
                <c:pt idx="52">
                  <c:v>8.76785714285714</c:v>
                </c:pt>
                <c:pt idx="53">
                  <c:v>9.9634703196347</c:v>
                </c:pt>
                <c:pt idx="54">
                  <c:v>11.5168067226891</c:v>
                </c:pt>
                <c:pt idx="55">
                  <c:v>11.3568965517241</c:v>
                </c:pt>
                <c:pt idx="56">
                  <c:v>10.6321752265861</c:v>
                </c:pt>
                <c:pt idx="57">
                  <c:v>8.30764449968925</c:v>
                </c:pt>
                <c:pt idx="58">
                  <c:v>7.73192942515652</c:v>
                </c:pt>
                <c:pt idx="59">
                  <c:v>6.1570796460177</c:v>
                </c:pt>
                <c:pt idx="60">
                  <c:v>5.38917674150835</c:v>
                </c:pt>
                <c:pt idx="61">
                  <c:v>5.26905829596413</c:v>
                </c:pt>
                <c:pt idx="62">
                  <c:v>9.12040133779264</c:v>
                </c:pt>
                <c:pt idx="63">
                  <c:v>11.1802325581395</c:v>
                </c:pt>
                <c:pt idx="64">
                  <c:v>14.0124716553288</c:v>
                </c:pt>
                <c:pt idx="65">
                  <c:v>17.4090909090909</c:v>
                </c:pt>
                <c:pt idx="66">
                  <c:v>26.5605590062112</c:v>
                </c:pt>
                <c:pt idx="67">
                  <c:v>30.0452418096724</c:v>
                </c:pt>
                <c:pt idx="68">
                  <c:v>28.7093663911846</c:v>
                </c:pt>
                <c:pt idx="69">
                  <c:v>31.6675</c:v>
                </c:pt>
                <c:pt idx="70">
                  <c:v>29.5197018104366</c:v>
                </c:pt>
                <c:pt idx="71">
                  <c:v>18.5786046511628</c:v>
                </c:pt>
                <c:pt idx="72">
                  <c:v>23.7693661971831</c:v>
                </c:pt>
                <c:pt idx="73">
                  <c:v>26.353125</c:v>
                </c:pt>
                <c:pt idx="74">
                  <c:v>23.4331955922865</c:v>
                </c:pt>
                <c:pt idx="75">
                  <c:v>16.0835129310345</c:v>
                </c:pt>
                <c:pt idx="76">
                  <c:v>17.9233595800525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87505"/>
        <c:axId val="74611370"/>
      </c:lineChart>
      <c:catAx>
        <c:axId val="528750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11370"/>
        <c:crosses val="autoZero"/>
        <c:auto val="1"/>
        <c:lblAlgn val="ctr"/>
        <c:lblOffset val="100"/>
        <c:noMultiLvlLbl val="0"/>
      </c:catAx>
      <c:valAx>
        <c:axId val="74611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75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TTM operating margin and quarterly comp ratio (GAAP)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"TTM operating margin"</c:f>
              <c:strCache>
                <c:ptCount val="1"/>
                <c:pt idx="0">
                  <c:v>TTM operating margin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Quarterly!$B$8:$B$84</c:f>
              <c:strCache>
                <c:ptCount val="77"/>
                <c:pt idx="0">
                  <c:v>2007-06-30</c:v>
                </c:pt>
                <c:pt idx="1">
                  <c:v>2007-09-30</c:v>
                </c:pt>
                <c:pt idx="2">
                  <c:v>2007-12-31</c:v>
                </c:pt>
                <c:pt idx="3">
                  <c:v>2008-03-31</c:v>
                </c:pt>
                <c:pt idx="4">
                  <c:v>2008-06-30</c:v>
                </c:pt>
                <c:pt idx="5">
                  <c:v>2008-09-30</c:v>
                </c:pt>
                <c:pt idx="6">
                  <c:v>2008-12-31</c:v>
                </c:pt>
                <c:pt idx="7">
                  <c:v>2009-03-31</c:v>
                </c:pt>
                <c:pt idx="8">
                  <c:v>2009-06-30</c:v>
                </c:pt>
                <c:pt idx="9">
                  <c:v>2009-09-30</c:v>
                </c:pt>
                <c:pt idx="10">
                  <c:v>2009-12-31</c:v>
                </c:pt>
                <c:pt idx="11">
                  <c:v>2010-03-31</c:v>
                </c:pt>
                <c:pt idx="12">
                  <c:v>2010-06-30</c:v>
                </c:pt>
                <c:pt idx="13">
                  <c:v>2010-09-30</c:v>
                </c:pt>
                <c:pt idx="14">
                  <c:v>2010-12-31</c:v>
                </c:pt>
                <c:pt idx="15">
                  <c:v>2011-03-31</c:v>
                </c:pt>
                <c:pt idx="16">
                  <c:v>2011-06-30</c:v>
                </c:pt>
                <c:pt idx="17">
                  <c:v>2011-09-30</c:v>
                </c:pt>
                <c:pt idx="18">
                  <c:v>2011-12-31</c:v>
                </c:pt>
                <c:pt idx="19">
                  <c:v>2012-03-31</c:v>
                </c:pt>
                <c:pt idx="20">
                  <c:v>2012-06-30</c:v>
                </c:pt>
                <c:pt idx="21">
                  <c:v>2012-09-30</c:v>
                </c:pt>
                <c:pt idx="22">
                  <c:v>2012-12-31</c:v>
                </c:pt>
                <c:pt idx="23">
                  <c:v>2013-03-31</c:v>
                </c:pt>
                <c:pt idx="24">
                  <c:v>2013-06-30</c:v>
                </c:pt>
                <c:pt idx="25">
                  <c:v>2013-09-30</c:v>
                </c:pt>
                <c:pt idx="26">
                  <c:v>2013-12-31</c:v>
                </c:pt>
                <c:pt idx="27">
                  <c:v>2014-03-31</c:v>
                </c:pt>
                <c:pt idx="28">
                  <c:v>2014-06-30</c:v>
                </c:pt>
                <c:pt idx="29">
                  <c:v>2014-09-30</c:v>
                </c:pt>
                <c:pt idx="30">
                  <c:v>2014-12-31</c:v>
                </c:pt>
                <c:pt idx="31">
                  <c:v>2015-03-31</c:v>
                </c:pt>
                <c:pt idx="32">
                  <c:v>2015-06-30</c:v>
                </c:pt>
                <c:pt idx="33">
                  <c:v>2015-09-30</c:v>
                </c:pt>
                <c:pt idx="34">
                  <c:v>2015-12-31</c:v>
                </c:pt>
                <c:pt idx="35">
                  <c:v>2016-03-31</c:v>
                </c:pt>
                <c:pt idx="36">
                  <c:v>2016-06-30</c:v>
                </c:pt>
                <c:pt idx="37">
                  <c:v>2016-09-30</c:v>
                </c:pt>
                <c:pt idx="38">
                  <c:v>2016-12-31</c:v>
                </c:pt>
                <c:pt idx="39">
                  <c:v>2017-03-31</c:v>
                </c:pt>
                <c:pt idx="40">
                  <c:v>2017-06-30</c:v>
                </c:pt>
                <c:pt idx="41">
                  <c:v>2017-09-30</c:v>
                </c:pt>
                <c:pt idx="42">
                  <c:v>2017-12-31</c:v>
                </c:pt>
                <c:pt idx="43">
                  <c:v>2018-03-31</c:v>
                </c:pt>
                <c:pt idx="44">
                  <c:v>2018-06-30</c:v>
                </c:pt>
                <c:pt idx="45">
                  <c:v>2018-09-30</c:v>
                </c:pt>
                <c:pt idx="46">
                  <c:v>2018-12-31</c:v>
                </c:pt>
                <c:pt idx="47">
                  <c:v>2019-03-31</c:v>
                </c:pt>
                <c:pt idx="48">
                  <c:v>2019-06-30</c:v>
                </c:pt>
                <c:pt idx="49">
                  <c:v>2019-09-30</c:v>
                </c:pt>
                <c:pt idx="50">
                  <c:v>2019-12-31</c:v>
                </c:pt>
                <c:pt idx="51">
                  <c:v>2020-03-31</c:v>
                </c:pt>
                <c:pt idx="52">
                  <c:v>2020-06-30</c:v>
                </c:pt>
                <c:pt idx="53">
                  <c:v>2020-09-30</c:v>
                </c:pt>
                <c:pt idx="54">
                  <c:v>2020-12-31</c:v>
                </c:pt>
                <c:pt idx="55">
                  <c:v>2021-03-31</c:v>
                </c:pt>
                <c:pt idx="56">
                  <c:v>2021-06-30</c:v>
                </c:pt>
                <c:pt idx="57">
                  <c:v>2021-09-30</c:v>
                </c:pt>
                <c:pt idx="58">
                  <c:v>2021-12-31</c:v>
                </c:pt>
                <c:pt idx="59">
                  <c:v>2022-03-31</c:v>
                </c:pt>
                <c:pt idx="60">
                  <c:v>2022-06-30</c:v>
                </c:pt>
                <c:pt idx="61">
                  <c:v>2022-09-30</c:v>
                </c:pt>
                <c:pt idx="62">
                  <c:v>2022-12-31</c:v>
                </c:pt>
                <c:pt idx="63">
                  <c:v>2023-03-31</c:v>
                </c:pt>
                <c:pt idx="64">
                  <c:v>2023-06-30</c:v>
                </c:pt>
                <c:pt idx="65">
                  <c:v>2023-09-30</c:v>
                </c:pt>
                <c:pt idx="66">
                  <c:v>2023-12-31</c:v>
                </c:pt>
                <c:pt idx="67">
                  <c:v>2024-03-31</c:v>
                </c:pt>
                <c:pt idx="68">
                  <c:v>2024-06-30</c:v>
                </c:pt>
                <c:pt idx="69">
                  <c:v>2024-09-30</c:v>
                </c:pt>
                <c:pt idx="70">
                  <c:v>2024-12-31</c:v>
                </c:pt>
                <c:pt idx="71">
                  <c:v>2025-03-31</c:v>
                </c:pt>
                <c:pt idx="72">
                  <c:v>2025-06-30</c:v>
                </c:pt>
                <c:pt idx="73">
                  <c:v>2025-09-30</c:v>
                </c:pt>
                <c:pt idx="74">
                  <c:v>2025-12-31</c:v>
                </c:pt>
                <c:pt idx="75">
                  <c:v>2026-03-31</c:v>
                </c:pt>
                <c:pt idx="76">
                  <c:v>2026-06-30</c:v>
                </c:pt>
              </c:strCache>
            </c:strRef>
          </c:cat>
          <c:val>
            <c:numRef>
              <c:f>Quarterly!$P$8:$P$84</c:f>
              <c:numCache>
                <c:formatCode>0.0%;\(0.0%\);\-</c:formatCode>
                <c:ptCount val="77"/>
                <c:pt idx="0">
                  <c:v>-0.137323101671703</c:v>
                </c:pt>
                <c:pt idx="1">
                  <c:v>-0.148012521603026</c:v>
                </c:pt>
                <c:pt idx="2">
                  <c:v>-0.170818317221136</c:v>
                </c:pt>
                <c:pt idx="3">
                  <c:v>-0.295139755089645</c:v>
                </c:pt>
                <c:pt idx="4">
                  <c:v>0.11034834211605</c:v>
                </c:pt>
                <c:pt idx="5">
                  <c:v>0.0838051651378663</c:v>
                </c:pt>
                <c:pt idx="6">
                  <c:v>-0.0482083686522309</c:v>
                </c:pt>
                <c:pt idx="7">
                  <c:v>-0.0266492573526837</c:v>
                </c:pt>
                <c:pt idx="8">
                  <c:v>-0.123960003415268</c:v>
                </c:pt>
                <c:pt idx="9">
                  <c:v>-0.0662602602855806</c:v>
                </c:pt>
                <c:pt idx="10">
                  <c:v>0.0631604495128362</c:v>
                </c:pt>
                <c:pt idx="11">
                  <c:v>0.0847678605051894</c:v>
                </c:pt>
                <c:pt idx="12">
                  <c:v>0.116411381101693</c:v>
                </c:pt>
                <c:pt idx="13">
                  <c:v>0.12036691890821</c:v>
                </c:pt>
                <c:pt idx="14">
                  <c:v>0.0980566898551496</c:v>
                </c:pt>
                <c:pt idx="15">
                  <c:v>0.0940504276397218</c:v>
                </c:pt>
                <c:pt idx="16">
                  <c:v>0.108881739671178</c:v>
                </c:pt>
                <c:pt idx="17">
                  <c:v>0.0906138204645813</c:v>
                </c:pt>
                <c:pt idx="18">
                  <c:v>0.0683090961805503</c:v>
                </c:pt>
                <c:pt idx="19">
                  <c:v>0.0228958158641752</c:v>
                </c:pt>
                <c:pt idx="20">
                  <c:v>0.0389745617742723</c:v>
                </c:pt>
                <c:pt idx="21">
                  <c:v>0.041189787564336</c:v>
                </c:pt>
                <c:pt idx="22">
                  <c:v>0.102020165853795</c:v>
                </c:pt>
                <c:pt idx="23">
                  <c:v>0.135693709676021</c:v>
                </c:pt>
                <c:pt idx="24">
                  <c:v>0.152667699922643</c:v>
                </c:pt>
                <c:pt idx="25">
                  <c:v>0.168948679359363</c:v>
                </c:pt>
                <c:pt idx="26">
                  <c:v>0.170068249397723</c:v>
                </c:pt>
                <c:pt idx="27">
                  <c:v>0.176712472601751</c:v>
                </c:pt>
                <c:pt idx="28">
                  <c:v>0.18050126227826</c:v>
                </c:pt>
                <c:pt idx="29">
                  <c:v>0.18085577659043</c:v>
                </c:pt>
                <c:pt idx="30">
                  <c:v>0.186652297626925</c:v>
                </c:pt>
                <c:pt idx="31">
                  <c:v>0.160472287026937</c:v>
                </c:pt>
                <c:pt idx="32">
                  <c:v>0.14150605424176</c:v>
                </c:pt>
                <c:pt idx="33">
                  <c:v>0.107183631537191</c:v>
                </c:pt>
                <c:pt idx="34">
                  <c:v>0.105185024111543</c:v>
                </c:pt>
                <c:pt idx="35">
                  <c:v>0.107640126371376</c:v>
                </c:pt>
                <c:pt idx="36">
                  <c:v>0.124694940942075</c:v>
                </c:pt>
                <c:pt idx="37">
                  <c:v>0.169986157502249</c:v>
                </c:pt>
                <c:pt idx="38">
                  <c:v>0.18136428406752</c:v>
                </c:pt>
                <c:pt idx="39">
                  <c:v>0.227052229059128</c:v>
                </c:pt>
                <c:pt idx="40">
                  <c:v>0.213941739021014</c:v>
                </c:pt>
                <c:pt idx="41">
                  <c:v>0.212478575027319</c:v>
                </c:pt>
                <c:pt idx="42">
                  <c:v>0.251598117521705</c:v>
                </c:pt>
                <c:pt idx="43">
                  <c:v>0.241500226039148</c:v>
                </c:pt>
                <c:pt idx="44">
                  <c:v>0.26284734477089</c:v>
                </c:pt>
                <c:pt idx="45">
                  <c:v>0.25964610844747</c:v>
                </c:pt>
                <c:pt idx="46">
                  <c:v>0.262544528152932</c:v>
                </c:pt>
                <c:pt idx="47">
                  <c:v>0.254572720929506</c:v>
                </c:pt>
                <c:pt idx="48">
                  <c:v>0.255064462863464</c:v>
                </c:pt>
                <c:pt idx="49">
                  <c:v>0.250565925951083</c:v>
                </c:pt>
                <c:pt idx="50">
                  <c:v>0.217907818895623</c:v>
                </c:pt>
                <c:pt idx="51">
                  <c:v>0.199568595579639</c:v>
                </c:pt>
                <c:pt idx="52">
                  <c:v>0.181876240666357</c:v>
                </c:pt>
                <c:pt idx="53">
                  <c:v>0.178512904136976</c:v>
                </c:pt>
                <c:pt idx="54">
                  <c:v>0.232533167248626</c:v>
                </c:pt>
                <c:pt idx="55">
                  <c:v>0.268620298910695</c:v>
                </c:pt>
                <c:pt idx="56">
                  <c:v>0.295381563717585</c:v>
                </c:pt>
                <c:pt idx="57">
                  <c:v>0.313794606838097</c:v>
                </c:pt>
                <c:pt idx="58">
                  <c:v>0.335138572773544</c:v>
                </c:pt>
                <c:pt idx="59">
                  <c:v>0.333605867148571</c:v>
                </c:pt>
                <c:pt idx="60">
                  <c:v>0.320902676661317</c:v>
                </c:pt>
                <c:pt idx="61">
                  <c:v>0.309212575706299</c:v>
                </c:pt>
                <c:pt idx="62">
                  <c:v>0.252002137544315</c:v>
                </c:pt>
                <c:pt idx="63">
                  <c:v>0.227309611896128</c:v>
                </c:pt>
                <c:pt idx="64">
                  <c:v>0.203689029812016</c:v>
                </c:pt>
                <c:pt idx="65">
                  <c:v>0.182580155770722</c:v>
                </c:pt>
                <c:pt idx="66">
                  <c:v>0.148038973614037</c:v>
                </c:pt>
                <c:pt idx="67">
                  <c:v>0.138153330641607</c:v>
                </c:pt>
                <c:pt idx="68">
                  <c:v>0.14741432983822</c:v>
                </c:pt>
                <c:pt idx="69">
                  <c:v>0.154942139442008</c:v>
                </c:pt>
                <c:pt idx="70">
                  <c:v>0.176840930959363</c:v>
                </c:pt>
                <c:pt idx="71">
                  <c:v>0.179071873059506</c:v>
                </c:pt>
                <c:pt idx="72">
                  <c:v>0.184090422711539</c:v>
                </c:pt>
                <c:pt idx="73">
                  <c:v>0.19485220336591</c:v>
                </c:pt>
                <c:pt idx="74">
                  <c:v>0.204870040613929</c:v>
                </c:pt>
                <c:pt idx="75">
                  <c:v>0.221739417897895</c:v>
                </c:pt>
                <c:pt idx="76">
                  <c:v>0.213566413488562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"Comp ratio"</c:f>
              <c:strCache>
                <c:ptCount val="1"/>
                <c:pt idx="0">
                  <c:v>Comp ratio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Quarterly!$B$8:$B$84</c:f>
              <c:strCache>
                <c:ptCount val="77"/>
                <c:pt idx="0">
                  <c:v>2007-06-30</c:v>
                </c:pt>
                <c:pt idx="1">
                  <c:v>2007-09-30</c:v>
                </c:pt>
                <c:pt idx="2">
                  <c:v>2007-12-31</c:v>
                </c:pt>
                <c:pt idx="3">
                  <c:v>2008-03-31</c:v>
                </c:pt>
                <c:pt idx="4">
                  <c:v>2008-06-30</c:v>
                </c:pt>
                <c:pt idx="5">
                  <c:v>2008-09-30</c:v>
                </c:pt>
                <c:pt idx="6">
                  <c:v>2008-12-31</c:v>
                </c:pt>
                <c:pt idx="7">
                  <c:v>2009-03-31</c:v>
                </c:pt>
                <c:pt idx="8">
                  <c:v>2009-06-30</c:v>
                </c:pt>
                <c:pt idx="9">
                  <c:v>2009-09-30</c:v>
                </c:pt>
                <c:pt idx="10">
                  <c:v>2009-12-31</c:v>
                </c:pt>
                <c:pt idx="11">
                  <c:v>2010-03-31</c:v>
                </c:pt>
                <c:pt idx="12">
                  <c:v>2010-06-30</c:v>
                </c:pt>
                <c:pt idx="13">
                  <c:v>2010-09-30</c:v>
                </c:pt>
                <c:pt idx="14">
                  <c:v>2010-12-31</c:v>
                </c:pt>
                <c:pt idx="15">
                  <c:v>2011-03-31</c:v>
                </c:pt>
                <c:pt idx="16">
                  <c:v>2011-06-30</c:v>
                </c:pt>
                <c:pt idx="17">
                  <c:v>2011-09-30</c:v>
                </c:pt>
                <c:pt idx="18">
                  <c:v>2011-12-31</c:v>
                </c:pt>
                <c:pt idx="19">
                  <c:v>2012-03-31</c:v>
                </c:pt>
                <c:pt idx="20">
                  <c:v>2012-06-30</c:v>
                </c:pt>
                <c:pt idx="21">
                  <c:v>2012-09-30</c:v>
                </c:pt>
                <c:pt idx="22">
                  <c:v>2012-12-31</c:v>
                </c:pt>
                <c:pt idx="23">
                  <c:v>2013-03-31</c:v>
                </c:pt>
                <c:pt idx="24">
                  <c:v>2013-06-30</c:v>
                </c:pt>
                <c:pt idx="25">
                  <c:v>2013-09-30</c:v>
                </c:pt>
                <c:pt idx="26">
                  <c:v>2013-12-31</c:v>
                </c:pt>
                <c:pt idx="27">
                  <c:v>2014-03-31</c:v>
                </c:pt>
                <c:pt idx="28">
                  <c:v>2014-06-30</c:v>
                </c:pt>
                <c:pt idx="29">
                  <c:v>2014-09-30</c:v>
                </c:pt>
                <c:pt idx="30">
                  <c:v>2014-12-31</c:v>
                </c:pt>
                <c:pt idx="31">
                  <c:v>2015-03-31</c:v>
                </c:pt>
                <c:pt idx="32">
                  <c:v>2015-06-30</c:v>
                </c:pt>
                <c:pt idx="33">
                  <c:v>2015-09-30</c:v>
                </c:pt>
                <c:pt idx="34">
                  <c:v>2015-12-31</c:v>
                </c:pt>
                <c:pt idx="35">
                  <c:v>2016-03-31</c:v>
                </c:pt>
                <c:pt idx="36">
                  <c:v>2016-06-30</c:v>
                </c:pt>
                <c:pt idx="37">
                  <c:v>2016-09-30</c:v>
                </c:pt>
                <c:pt idx="38">
                  <c:v>2016-12-31</c:v>
                </c:pt>
                <c:pt idx="39">
                  <c:v>2017-03-31</c:v>
                </c:pt>
                <c:pt idx="40">
                  <c:v>2017-06-30</c:v>
                </c:pt>
                <c:pt idx="41">
                  <c:v>2017-09-30</c:v>
                </c:pt>
                <c:pt idx="42">
                  <c:v>2017-12-31</c:v>
                </c:pt>
                <c:pt idx="43">
                  <c:v>2018-03-31</c:v>
                </c:pt>
                <c:pt idx="44">
                  <c:v>2018-06-30</c:v>
                </c:pt>
                <c:pt idx="45">
                  <c:v>2018-09-30</c:v>
                </c:pt>
                <c:pt idx="46">
                  <c:v>2018-12-31</c:v>
                </c:pt>
                <c:pt idx="47">
                  <c:v>2019-03-31</c:v>
                </c:pt>
                <c:pt idx="48">
                  <c:v>2019-06-30</c:v>
                </c:pt>
                <c:pt idx="49">
                  <c:v>2019-09-30</c:v>
                </c:pt>
                <c:pt idx="50">
                  <c:v>2019-12-31</c:v>
                </c:pt>
                <c:pt idx="51">
                  <c:v>2020-03-31</c:v>
                </c:pt>
                <c:pt idx="52">
                  <c:v>2020-06-30</c:v>
                </c:pt>
                <c:pt idx="53">
                  <c:v>2020-09-30</c:v>
                </c:pt>
                <c:pt idx="54">
                  <c:v>2020-12-31</c:v>
                </c:pt>
                <c:pt idx="55">
                  <c:v>2021-03-31</c:v>
                </c:pt>
                <c:pt idx="56">
                  <c:v>2021-06-30</c:v>
                </c:pt>
                <c:pt idx="57">
                  <c:v>2021-09-30</c:v>
                </c:pt>
                <c:pt idx="58">
                  <c:v>2021-12-31</c:v>
                </c:pt>
                <c:pt idx="59">
                  <c:v>2022-03-31</c:v>
                </c:pt>
                <c:pt idx="60">
                  <c:v>2022-06-30</c:v>
                </c:pt>
                <c:pt idx="61">
                  <c:v>2022-09-30</c:v>
                </c:pt>
                <c:pt idx="62">
                  <c:v>2022-12-31</c:v>
                </c:pt>
                <c:pt idx="63">
                  <c:v>2023-03-31</c:v>
                </c:pt>
                <c:pt idx="64">
                  <c:v>2023-06-30</c:v>
                </c:pt>
                <c:pt idx="65">
                  <c:v>2023-09-30</c:v>
                </c:pt>
                <c:pt idx="66">
                  <c:v>2023-12-31</c:v>
                </c:pt>
                <c:pt idx="67">
                  <c:v>2024-03-31</c:v>
                </c:pt>
                <c:pt idx="68">
                  <c:v>2024-06-30</c:v>
                </c:pt>
                <c:pt idx="69">
                  <c:v>2024-09-30</c:v>
                </c:pt>
                <c:pt idx="70">
                  <c:v>2024-12-31</c:v>
                </c:pt>
                <c:pt idx="71">
                  <c:v>2025-03-31</c:v>
                </c:pt>
                <c:pt idx="72">
                  <c:v>2025-06-30</c:v>
                </c:pt>
                <c:pt idx="73">
                  <c:v>2025-09-30</c:v>
                </c:pt>
                <c:pt idx="74">
                  <c:v>2025-12-31</c:v>
                </c:pt>
                <c:pt idx="75">
                  <c:v>2026-03-31</c:v>
                </c:pt>
                <c:pt idx="76">
                  <c:v>2026-06-30</c:v>
                </c:pt>
              </c:strCache>
            </c:strRef>
          </c:cat>
          <c:val>
            <c:numRef>
              <c:f>Quarterly!$L$8:$L$84</c:f>
              <c:numCache>
                <c:formatCode>0.0%;\(0.0%\);\-</c:formatCode>
                <c:ptCount val="77"/>
                <c:pt idx="0">
                  <c:v>2.29360359266901</c:v>
                </c:pt>
                <c:pt idx="1">
                  <c:v>0.590850702357767</c:v>
                </c:pt>
                <c:pt idx="2">
                  <c:v>0.615734817468441</c:v>
                </c:pt>
                <c:pt idx="3">
                  <c:v>0.747504945153749</c:v>
                </c:pt>
                <c:pt idx="4">
                  <c:v>0.64060680661366</c:v>
                </c:pt>
                <c:pt idx="5">
                  <c:v>0.709538309893862</c:v>
                </c:pt>
                <c:pt idx="6">
                  <c:v>1.04058851847394</c:v>
                </c:pt>
                <c:pt idx="7">
                  <c:v>0.721031251256888</c:v>
                </c:pt>
                <c:pt idx="8">
                  <c:v>0.729966358402658</c:v>
                </c:pt>
                <c:pt idx="9">
                  <c:v>0.662339535554594</c:v>
                </c:pt>
                <c:pt idx="10">
                  <c:v>0.6228680821441</c:v>
                </c:pt>
                <c:pt idx="11">
                  <c:v>0.639669838937423</c:v>
                </c:pt>
                <c:pt idx="12">
                  <c:v>0.711484942241017</c:v>
                </c:pt>
                <c:pt idx="13">
                  <c:v>0.668701483438326</c:v>
                </c:pt>
                <c:pt idx="14">
                  <c:v>0.630712060876079</c:v>
                </c:pt>
                <c:pt idx="15">
                  <c:v>0.645175446787055</c:v>
                </c:pt>
                <c:pt idx="16">
                  <c:v>0.708683889974788</c:v>
                </c:pt>
                <c:pt idx="17">
                  <c:v>0.696367836941801</c:v>
                </c:pt>
                <c:pt idx="18">
                  <c:v>0.663941621372394</c:v>
                </c:pt>
                <c:pt idx="19">
                  <c:v>0.785297379326446</c:v>
                </c:pt>
                <c:pt idx="20">
                  <c:v>0.662562247459376</c:v>
                </c:pt>
                <c:pt idx="21">
                  <c:v>0.662384253964935</c:v>
                </c:pt>
                <c:pt idx="22">
                  <c:v>0.626183724287429</c:v>
                </c:pt>
                <c:pt idx="23">
                  <c:v>0.668337362658962</c:v>
                </c:pt>
                <c:pt idx="24">
                  <c:v>0.63529451587789</c:v>
                </c:pt>
                <c:pt idx="25">
                  <c:v>0.631662111376836</c:v>
                </c:pt>
                <c:pt idx="26">
                  <c:v>0.613155776688374</c:v>
                </c:pt>
                <c:pt idx="27">
                  <c:v>0.612904307471515</c:v>
                </c:pt>
                <c:pt idx="28">
                  <c:v>0.594158826988094</c:v>
                </c:pt>
                <c:pt idx="29">
                  <c:v>0.601163932189064</c:v>
                </c:pt>
                <c:pt idx="30">
                  <c:v>0.597154911024953</c:v>
                </c:pt>
                <c:pt idx="31">
                  <c:v>0.685452322224697</c:v>
                </c:pt>
                <c:pt idx="32">
                  <c:v>0.645828359990451</c:v>
                </c:pt>
                <c:pt idx="33">
                  <c:v>0.638855352466896</c:v>
                </c:pt>
                <c:pt idx="34">
                  <c:v>0.623476703825908</c:v>
                </c:pt>
                <c:pt idx="35">
                  <c:v>0.698121553821499</c:v>
                </c:pt>
                <c:pt idx="36">
                  <c:v>0.63119980835919</c:v>
                </c:pt>
                <c:pt idx="37">
                  <c:v>0.599797056280642</c:v>
                </c:pt>
                <c:pt idx="38">
                  <c:v>0.600919686821489</c:v>
                </c:pt>
                <c:pt idx="39">
                  <c:v>0.530818831391851</c:v>
                </c:pt>
                <c:pt idx="40">
                  <c:v>0.639339217750425</c:v>
                </c:pt>
                <c:pt idx="41">
                  <c:v>0.606914395193322</c:v>
                </c:pt>
                <c:pt idx="42">
                  <c:v>0.506130203636458</c:v>
                </c:pt>
                <c:pt idx="43">
                  <c:v>0.594296783824421</c:v>
                </c:pt>
                <c:pt idx="44">
                  <c:v>0.592206512262613</c:v>
                </c:pt>
                <c:pt idx="45">
                  <c:v>0.59133554880016</c:v>
                </c:pt>
                <c:pt idx="46">
                  <c:v>0.558248185780251</c:v>
                </c:pt>
                <c:pt idx="47">
                  <c:v>0.596233810948963</c:v>
                </c:pt>
                <c:pt idx="48">
                  <c:v>0.591894110867985</c:v>
                </c:pt>
                <c:pt idx="49">
                  <c:v>0.60095276455875</c:v>
                </c:pt>
                <c:pt idx="50">
                  <c:v>0.60188418289208</c:v>
                </c:pt>
                <c:pt idx="51">
                  <c:v>0.634045811895355</c:v>
                </c:pt>
                <c:pt idx="52">
                  <c:v>0.658770398856185</c:v>
                </c:pt>
                <c:pt idx="53">
                  <c:v>0.645471597331777</c:v>
                </c:pt>
                <c:pt idx="54">
                  <c:v>0.547540838642609</c:v>
                </c:pt>
                <c:pt idx="55">
                  <c:v>0.596986305506485</c:v>
                </c:pt>
                <c:pt idx="56">
                  <c:v>0.592845979952462</c:v>
                </c:pt>
                <c:pt idx="57">
                  <c:v>0.590696431932294</c:v>
                </c:pt>
                <c:pt idx="58">
                  <c:v>0.50108759071098</c:v>
                </c:pt>
                <c:pt idx="59">
                  <c:v>0.594497644060903</c:v>
                </c:pt>
                <c:pt idx="60">
                  <c:v>0.616516911099241</c:v>
                </c:pt>
                <c:pt idx="61">
                  <c:v>0.616694717100827</c:v>
                </c:pt>
                <c:pt idx="62">
                  <c:v>0.62912767339476</c:v>
                </c:pt>
                <c:pt idx="63">
                  <c:v>0.641224309307289</c:v>
                </c:pt>
                <c:pt idx="64">
                  <c:v>0.677535296013968</c:v>
                </c:pt>
                <c:pt idx="65">
                  <c:v>0.686980463680685</c:v>
                </c:pt>
                <c:pt idx="66">
                  <c:v>0.714004797447483</c:v>
                </c:pt>
                <c:pt idx="67">
                  <c:v>0.667518917383332</c:v>
                </c:pt>
                <c:pt idx="68">
                  <c:v>0.665872053207665</c:v>
                </c:pt>
                <c:pt idx="69">
                  <c:v>0.664662731435451</c:v>
                </c:pt>
                <c:pt idx="70">
                  <c:v>0.655557287159654</c:v>
                </c:pt>
                <c:pt idx="71">
                  <c:v>0.661781531858918</c:v>
                </c:pt>
                <c:pt idx="72">
                  <c:v>0.657941067123994</c:v>
                </c:pt>
                <c:pt idx="73">
                  <c:v>0.655176131310137</c:v>
                </c:pt>
                <c:pt idx="74">
                  <c:v>0.630102066558667</c:v>
                </c:pt>
                <c:pt idx="75">
                  <c:v>0.649672530034249</c:v>
                </c:pt>
                <c:pt idx="76">
                  <c:v>0.648143453992581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203231"/>
        <c:axId val="60042121"/>
      </c:lineChart>
      <c:catAx>
        <c:axId val="90203231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42121"/>
        <c:crosses val="autoZero"/>
        <c:auto val="1"/>
        <c:lblAlgn val="ctr"/>
        <c:lblOffset val="100"/>
        <c:noMultiLvlLbl val="0"/>
      </c:catAx>
      <c:valAx>
        <c:axId val="60042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032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TTM net revenues ($mm)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"TTM net revenues"</c:f>
              <c:strCache>
                <c:ptCount val="1"/>
                <c:pt idx="0">
                  <c:v>TTM net revenues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Quarterly!$B$8:$B$84</c:f>
              <c:strCache>
                <c:ptCount val="77"/>
                <c:pt idx="0">
                  <c:v>2007-06-30</c:v>
                </c:pt>
                <c:pt idx="1">
                  <c:v>2007-09-30</c:v>
                </c:pt>
                <c:pt idx="2">
                  <c:v>2007-12-31</c:v>
                </c:pt>
                <c:pt idx="3">
                  <c:v>2008-03-31</c:v>
                </c:pt>
                <c:pt idx="4">
                  <c:v>2008-06-30</c:v>
                </c:pt>
                <c:pt idx="5">
                  <c:v>2008-09-30</c:v>
                </c:pt>
                <c:pt idx="6">
                  <c:v>2008-12-31</c:v>
                </c:pt>
                <c:pt idx="7">
                  <c:v>2009-03-31</c:v>
                </c:pt>
                <c:pt idx="8">
                  <c:v>2009-06-30</c:v>
                </c:pt>
                <c:pt idx="9">
                  <c:v>2009-09-30</c:v>
                </c:pt>
                <c:pt idx="10">
                  <c:v>2009-12-31</c:v>
                </c:pt>
                <c:pt idx="11">
                  <c:v>2010-03-31</c:v>
                </c:pt>
                <c:pt idx="12">
                  <c:v>2010-06-30</c:v>
                </c:pt>
                <c:pt idx="13">
                  <c:v>2010-09-30</c:v>
                </c:pt>
                <c:pt idx="14">
                  <c:v>2010-12-31</c:v>
                </c:pt>
                <c:pt idx="15">
                  <c:v>2011-03-31</c:v>
                </c:pt>
                <c:pt idx="16">
                  <c:v>2011-06-30</c:v>
                </c:pt>
                <c:pt idx="17">
                  <c:v>2011-09-30</c:v>
                </c:pt>
                <c:pt idx="18">
                  <c:v>2011-12-31</c:v>
                </c:pt>
                <c:pt idx="19">
                  <c:v>2012-03-31</c:v>
                </c:pt>
                <c:pt idx="20">
                  <c:v>2012-06-30</c:v>
                </c:pt>
                <c:pt idx="21">
                  <c:v>2012-09-30</c:v>
                </c:pt>
                <c:pt idx="22">
                  <c:v>2012-12-31</c:v>
                </c:pt>
                <c:pt idx="23">
                  <c:v>2013-03-31</c:v>
                </c:pt>
                <c:pt idx="24">
                  <c:v>2013-06-30</c:v>
                </c:pt>
                <c:pt idx="25">
                  <c:v>2013-09-30</c:v>
                </c:pt>
                <c:pt idx="26">
                  <c:v>2013-12-31</c:v>
                </c:pt>
                <c:pt idx="27">
                  <c:v>2014-03-31</c:v>
                </c:pt>
                <c:pt idx="28">
                  <c:v>2014-06-30</c:v>
                </c:pt>
                <c:pt idx="29">
                  <c:v>2014-09-30</c:v>
                </c:pt>
                <c:pt idx="30">
                  <c:v>2014-12-31</c:v>
                </c:pt>
                <c:pt idx="31">
                  <c:v>2015-03-31</c:v>
                </c:pt>
                <c:pt idx="32">
                  <c:v>2015-06-30</c:v>
                </c:pt>
                <c:pt idx="33">
                  <c:v>2015-09-30</c:v>
                </c:pt>
                <c:pt idx="34">
                  <c:v>2015-12-31</c:v>
                </c:pt>
                <c:pt idx="35">
                  <c:v>2016-03-31</c:v>
                </c:pt>
                <c:pt idx="36">
                  <c:v>2016-06-30</c:v>
                </c:pt>
                <c:pt idx="37">
                  <c:v>2016-09-30</c:v>
                </c:pt>
                <c:pt idx="38">
                  <c:v>2016-12-31</c:v>
                </c:pt>
                <c:pt idx="39">
                  <c:v>2017-03-31</c:v>
                </c:pt>
                <c:pt idx="40">
                  <c:v>2017-06-30</c:v>
                </c:pt>
                <c:pt idx="41">
                  <c:v>2017-09-30</c:v>
                </c:pt>
                <c:pt idx="42">
                  <c:v>2017-12-31</c:v>
                </c:pt>
                <c:pt idx="43">
                  <c:v>2018-03-31</c:v>
                </c:pt>
                <c:pt idx="44">
                  <c:v>2018-06-30</c:v>
                </c:pt>
                <c:pt idx="45">
                  <c:v>2018-09-30</c:v>
                </c:pt>
                <c:pt idx="46">
                  <c:v>2018-12-31</c:v>
                </c:pt>
                <c:pt idx="47">
                  <c:v>2019-03-31</c:v>
                </c:pt>
                <c:pt idx="48">
                  <c:v>2019-06-30</c:v>
                </c:pt>
                <c:pt idx="49">
                  <c:v>2019-09-30</c:v>
                </c:pt>
                <c:pt idx="50">
                  <c:v>2019-12-31</c:v>
                </c:pt>
                <c:pt idx="51">
                  <c:v>2020-03-31</c:v>
                </c:pt>
                <c:pt idx="52">
                  <c:v>2020-06-30</c:v>
                </c:pt>
                <c:pt idx="53">
                  <c:v>2020-09-30</c:v>
                </c:pt>
                <c:pt idx="54">
                  <c:v>2020-12-31</c:v>
                </c:pt>
                <c:pt idx="55">
                  <c:v>2021-03-31</c:v>
                </c:pt>
                <c:pt idx="56">
                  <c:v>2021-06-30</c:v>
                </c:pt>
                <c:pt idx="57">
                  <c:v>2021-09-30</c:v>
                </c:pt>
                <c:pt idx="58">
                  <c:v>2021-12-31</c:v>
                </c:pt>
                <c:pt idx="59">
                  <c:v>2022-03-31</c:v>
                </c:pt>
                <c:pt idx="60">
                  <c:v>2022-06-30</c:v>
                </c:pt>
                <c:pt idx="61">
                  <c:v>2022-09-30</c:v>
                </c:pt>
                <c:pt idx="62">
                  <c:v>2022-12-31</c:v>
                </c:pt>
                <c:pt idx="63">
                  <c:v>2023-03-31</c:v>
                </c:pt>
                <c:pt idx="64">
                  <c:v>2023-06-30</c:v>
                </c:pt>
                <c:pt idx="65">
                  <c:v>2023-09-30</c:v>
                </c:pt>
                <c:pt idx="66">
                  <c:v>2023-12-31</c:v>
                </c:pt>
                <c:pt idx="67">
                  <c:v>2024-03-31</c:v>
                </c:pt>
                <c:pt idx="68">
                  <c:v>2024-06-30</c:v>
                </c:pt>
                <c:pt idx="69">
                  <c:v>2024-09-30</c:v>
                </c:pt>
                <c:pt idx="70">
                  <c:v>2024-12-31</c:v>
                </c:pt>
                <c:pt idx="71">
                  <c:v>2025-03-31</c:v>
                </c:pt>
                <c:pt idx="72">
                  <c:v>2025-06-30</c:v>
                </c:pt>
                <c:pt idx="73">
                  <c:v>2025-09-30</c:v>
                </c:pt>
                <c:pt idx="74">
                  <c:v>2025-12-31</c:v>
                </c:pt>
                <c:pt idx="75">
                  <c:v>2026-03-31</c:v>
                </c:pt>
                <c:pt idx="76">
                  <c:v>2026-06-30</c:v>
                </c:pt>
              </c:strCache>
            </c:strRef>
          </c:cat>
          <c:val>
            <c:numRef>
              <c:f>Quarterly!$O$8:$O$84</c:f>
              <c:numCache>
                <c:formatCode>\$#,##0.0;"($"#,##0.0\);\-</c:formatCode>
                <c:ptCount val="77"/>
                <c:pt idx="0">
                  <c:v>276.006</c:v>
                </c:pt>
                <c:pt idx="1">
                  <c:v>306.67</c:v>
                </c:pt>
                <c:pt idx="2">
                  <c:v>321.599</c:v>
                </c:pt>
                <c:pt idx="3">
                  <c:v>276.591</c:v>
                </c:pt>
                <c:pt idx="4">
                  <c:v>270.797</c:v>
                </c:pt>
                <c:pt idx="5">
                  <c:v>255.211</c:v>
                </c:pt>
                <c:pt idx="6">
                  <c:v>194.655</c:v>
                </c:pt>
                <c:pt idx="7">
                  <c:v>199.893</c:v>
                </c:pt>
                <c:pt idx="8">
                  <c:v>210.818</c:v>
                </c:pt>
                <c:pt idx="9">
                  <c:v>237.201</c:v>
                </c:pt>
                <c:pt idx="10">
                  <c:v>313.139</c:v>
                </c:pt>
                <c:pt idx="11">
                  <c:v>350.522</c:v>
                </c:pt>
                <c:pt idx="12">
                  <c:v>343.798</c:v>
                </c:pt>
                <c:pt idx="13">
                  <c:v>383.627</c:v>
                </c:pt>
                <c:pt idx="14">
                  <c:v>375.905</c:v>
                </c:pt>
                <c:pt idx="15">
                  <c:v>395.894</c:v>
                </c:pt>
                <c:pt idx="16">
                  <c:v>472.779</c:v>
                </c:pt>
                <c:pt idx="17">
                  <c:v>512.935</c:v>
                </c:pt>
                <c:pt idx="18">
                  <c:v>524.264</c:v>
                </c:pt>
                <c:pt idx="19">
                  <c:v>519.964</c:v>
                </c:pt>
                <c:pt idx="20">
                  <c:v>551.257</c:v>
                </c:pt>
                <c:pt idx="21">
                  <c:v>541.105</c:v>
                </c:pt>
                <c:pt idx="22">
                  <c:v>642.373</c:v>
                </c:pt>
                <c:pt idx="23">
                  <c:v>692.206</c:v>
                </c:pt>
                <c:pt idx="24">
                  <c:v>726.506</c:v>
                </c:pt>
                <c:pt idx="25">
                  <c:v>760.805</c:v>
                </c:pt>
                <c:pt idx="26">
                  <c:v>765.428</c:v>
                </c:pt>
                <c:pt idx="27">
                  <c:v>761.91</c:v>
                </c:pt>
                <c:pt idx="28">
                  <c:v>772.809</c:v>
                </c:pt>
                <c:pt idx="29">
                  <c:v>812.642</c:v>
                </c:pt>
                <c:pt idx="30">
                  <c:v>915.858</c:v>
                </c:pt>
                <c:pt idx="31">
                  <c:v>1004.728</c:v>
                </c:pt>
                <c:pt idx="32">
                  <c:v>1055.128</c:v>
                </c:pt>
                <c:pt idx="33">
                  <c:v>1136.918</c:v>
                </c:pt>
                <c:pt idx="34">
                  <c:v>1223.273</c:v>
                </c:pt>
                <c:pt idx="35">
                  <c:v>1243.003</c:v>
                </c:pt>
                <c:pt idx="36">
                  <c:v>1325.563</c:v>
                </c:pt>
                <c:pt idx="37">
                  <c:v>1402.926</c:v>
                </c:pt>
                <c:pt idx="38">
                  <c:v>1440.052</c:v>
                </c:pt>
                <c:pt idx="39">
                  <c:v>1569.586</c:v>
                </c:pt>
                <c:pt idx="40">
                  <c:v>1589.4</c:v>
                </c:pt>
                <c:pt idx="41">
                  <c:v>1609.687</c:v>
                </c:pt>
                <c:pt idx="42">
                  <c:v>1704.349</c:v>
                </c:pt>
                <c:pt idx="43">
                  <c:v>1780.665</c:v>
                </c:pt>
                <c:pt idx="44">
                  <c:v>1858.672</c:v>
                </c:pt>
                <c:pt idx="45">
                  <c:v>1833.33</c:v>
                </c:pt>
                <c:pt idx="46">
                  <c:v>2064.705</c:v>
                </c:pt>
                <c:pt idx="47">
                  <c:v>2016.469</c:v>
                </c:pt>
                <c:pt idx="48">
                  <c:v>2099.038</c:v>
                </c:pt>
                <c:pt idx="49">
                  <c:v>2119.977</c:v>
                </c:pt>
                <c:pt idx="50">
                  <c:v>2008.698</c:v>
                </c:pt>
                <c:pt idx="51">
                  <c:v>2020.378</c:v>
                </c:pt>
                <c:pt idx="52">
                  <c:v>1996.407</c:v>
                </c:pt>
                <c:pt idx="53">
                  <c:v>1996.724</c:v>
                </c:pt>
                <c:pt idx="54">
                  <c:v>2263.905</c:v>
                </c:pt>
                <c:pt idx="55">
                  <c:v>2499.208</c:v>
                </c:pt>
                <c:pt idx="56">
                  <c:v>2679.998</c:v>
                </c:pt>
                <c:pt idx="57">
                  <c:v>3101.038</c:v>
                </c:pt>
                <c:pt idx="58">
                  <c:v>3289.499</c:v>
                </c:pt>
                <c:pt idx="59">
                  <c:v>3350.043</c:v>
                </c:pt>
                <c:pt idx="60">
                  <c:v>3293.095</c:v>
                </c:pt>
                <c:pt idx="61">
                  <c:v>3046.477</c:v>
                </c:pt>
                <c:pt idx="62">
                  <c:v>2762.048</c:v>
                </c:pt>
                <c:pt idx="63">
                  <c:v>2611.337</c:v>
                </c:pt>
                <c:pt idx="64">
                  <c:v>2479.839</c:v>
                </c:pt>
                <c:pt idx="65">
                  <c:v>2473.122</c:v>
                </c:pt>
                <c:pt idx="66">
                  <c:v>2425.949</c:v>
                </c:pt>
                <c:pt idx="67">
                  <c:v>2434.621</c:v>
                </c:pt>
                <c:pt idx="68">
                  <c:v>2624.426</c:v>
                </c:pt>
                <c:pt idx="69">
                  <c:v>2788.428</c:v>
                </c:pt>
                <c:pt idx="70">
                  <c:v>2979.593</c:v>
                </c:pt>
                <c:pt idx="71">
                  <c:v>3093.607</c:v>
                </c:pt>
                <c:pt idx="72">
                  <c:v>3238.213</c:v>
                </c:pt>
                <c:pt idx="73">
                  <c:v>3542.875</c:v>
                </c:pt>
                <c:pt idx="74">
                  <c:v>3855.82</c:v>
                </c:pt>
                <c:pt idx="75">
                  <c:v>4552.569</c:v>
                </c:pt>
                <c:pt idx="76">
                  <c:v>4708.938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388764"/>
        <c:axId val="5990849"/>
      </c:lineChart>
      <c:catAx>
        <c:axId val="68388764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0849"/>
        <c:crosses val="autoZero"/>
        <c:auto val="1"/>
        <c:lblAlgn val="ctr"/>
        <c:lblOffset val="100"/>
        <c:noMultiLvlLbl val="0"/>
      </c:catAx>
      <c:valAx>
        <c:axId val="5990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887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TTM Adjusted vs GAAP EPS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"TTM Adjusted EPS"</c:f>
              <c:strCache>
                <c:ptCount val="1"/>
                <c:pt idx="0">
                  <c:v>TTM Adjusted EPS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Quarterly!$B$8:$B$84</c:f>
              <c:strCache>
                <c:ptCount val="77"/>
                <c:pt idx="0">
                  <c:v>2007-06-30</c:v>
                </c:pt>
                <c:pt idx="1">
                  <c:v>2007-09-30</c:v>
                </c:pt>
                <c:pt idx="2">
                  <c:v>2007-12-31</c:v>
                </c:pt>
                <c:pt idx="3">
                  <c:v>2008-03-31</c:v>
                </c:pt>
                <c:pt idx="4">
                  <c:v>2008-06-30</c:v>
                </c:pt>
                <c:pt idx="5">
                  <c:v>2008-09-30</c:v>
                </c:pt>
                <c:pt idx="6">
                  <c:v>2008-12-31</c:v>
                </c:pt>
                <c:pt idx="7">
                  <c:v>2009-03-31</c:v>
                </c:pt>
                <c:pt idx="8">
                  <c:v>2009-06-30</c:v>
                </c:pt>
                <c:pt idx="9">
                  <c:v>2009-09-30</c:v>
                </c:pt>
                <c:pt idx="10">
                  <c:v>2009-12-31</c:v>
                </c:pt>
                <c:pt idx="11">
                  <c:v>2010-03-31</c:v>
                </c:pt>
                <c:pt idx="12">
                  <c:v>2010-06-30</c:v>
                </c:pt>
                <c:pt idx="13">
                  <c:v>2010-09-30</c:v>
                </c:pt>
                <c:pt idx="14">
                  <c:v>2010-12-31</c:v>
                </c:pt>
                <c:pt idx="15">
                  <c:v>2011-03-31</c:v>
                </c:pt>
                <c:pt idx="16">
                  <c:v>2011-06-30</c:v>
                </c:pt>
                <c:pt idx="17">
                  <c:v>2011-09-30</c:v>
                </c:pt>
                <c:pt idx="18">
                  <c:v>2011-12-31</c:v>
                </c:pt>
                <c:pt idx="19">
                  <c:v>2012-03-31</c:v>
                </c:pt>
                <c:pt idx="20">
                  <c:v>2012-06-30</c:v>
                </c:pt>
                <c:pt idx="21">
                  <c:v>2012-09-30</c:v>
                </c:pt>
                <c:pt idx="22">
                  <c:v>2012-12-31</c:v>
                </c:pt>
                <c:pt idx="23">
                  <c:v>2013-03-31</c:v>
                </c:pt>
                <c:pt idx="24">
                  <c:v>2013-06-30</c:v>
                </c:pt>
                <c:pt idx="25">
                  <c:v>2013-09-30</c:v>
                </c:pt>
                <c:pt idx="26">
                  <c:v>2013-12-31</c:v>
                </c:pt>
                <c:pt idx="27">
                  <c:v>2014-03-31</c:v>
                </c:pt>
                <c:pt idx="28">
                  <c:v>2014-06-30</c:v>
                </c:pt>
                <c:pt idx="29">
                  <c:v>2014-09-30</c:v>
                </c:pt>
                <c:pt idx="30">
                  <c:v>2014-12-31</c:v>
                </c:pt>
                <c:pt idx="31">
                  <c:v>2015-03-31</c:v>
                </c:pt>
                <c:pt idx="32">
                  <c:v>2015-06-30</c:v>
                </c:pt>
                <c:pt idx="33">
                  <c:v>2015-09-30</c:v>
                </c:pt>
                <c:pt idx="34">
                  <c:v>2015-12-31</c:v>
                </c:pt>
                <c:pt idx="35">
                  <c:v>2016-03-31</c:v>
                </c:pt>
                <c:pt idx="36">
                  <c:v>2016-06-30</c:v>
                </c:pt>
                <c:pt idx="37">
                  <c:v>2016-09-30</c:v>
                </c:pt>
                <c:pt idx="38">
                  <c:v>2016-12-31</c:v>
                </c:pt>
                <c:pt idx="39">
                  <c:v>2017-03-31</c:v>
                </c:pt>
                <c:pt idx="40">
                  <c:v>2017-06-30</c:v>
                </c:pt>
                <c:pt idx="41">
                  <c:v>2017-09-30</c:v>
                </c:pt>
                <c:pt idx="42">
                  <c:v>2017-12-31</c:v>
                </c:pt>
                <c:pt idx="43">
                  <c:v>2018-03-31</c:v>
                </c:pt>
                <c:pt idx="44">
                  <c:v>2018-06-30</c:v>
                </c:pt>
                <c:pt idx="45">
                  <c:v>2018-09-30</c:v>
                </c:pt>
                <c:pt idx="46">
                  <c:v>2018-12-31</c:v>
                </c:pt>
                <c:pt idx="47">
                  <c:v>2019-03-31</c:v>
                </c:pt>
                <c:pt idx="48">
                  <c:v>2019-06-30</c:v>
                </c:pt>
                <c:pt idx="49">
                  <c:v>2019-09-30</c:v>
                </c:pt>
                <c:pt idx="50">
                  <c:v>2019-12-31</c:v>
                </c:pt>
                <c:pt idx="51">
                  <c:v>2020-03-31</c:v>
                </c:pt>
                <c:pt idx="52">
                  <c:v>2020-06-30</c:v>
                </c:pt>
                <c:pt idx="53">
                  <c:v>2020-09-30</c:v>
                </c:pt>
                <c:pt idx="54">
                  <c:v>2020-12-31</c:v>
                </c:pt>
                <c:pt idx="55">
                  <c:v>2021-03-31</c:v>
                </c:pt>
                <c:pt idx="56">
                  <c:v>2021-06-30</c:v>
                </c:pt>
                <c:pt idx="57">
                  <c:v>2021-09-30</c:v>
                </c:pt>
                <c:pt idx="58">
                  <c:v>2021-12-31</c:v>
                </c:pt>
                <c:pt idx="59">
                  <c:v>2022-03-31</c:v>
                </c:pt>
                <c:pt idx="60">
                  <c:v>2022-06-30</c:v>
                </c:pt>
                <c:pt idx="61">
                  <c:v>2022-09-30</c:v>
                </c:pt>
                <c:pt idx="62">
                  <c:v>2022-12-31</c:v>
                </c:pt>
                <c:pt idx="63">
                  <c:v>2023-03-31</c:v>
                </c:pt>
                <c:pt idx="64">
                  <c:v>2023-06-30</c:v>
                </c:pt>
                <c:pt idx="65">
                  <c:v>2023-09-30</c:v>
                </c:pt>
                <c:pt idx="66">
                  <c:v>2023-12-31</c:v>
                </c:pt>
                <c:pt idx="67">
                  <c:v>2024-03-31</c:v>
                </c:pt>
                <c:pt idx="68">
                  <c:v>2024-06-30</c:v>
                </c:pt>
                <c:pt idx="69">
                  <c:v>2024-09-30</c:v>
                </c:pt>
                <c:pt idx="70">
                  <c:v>2024-12-31</c:v>
                </c:pt>
                <c:pt idx="71">
                  <c:v>2025-03-31</c:v>
                </c:pt>
                <c:pt idx="72">
                  <c:v>2025-06-30</c:v>
                </c:pt>
                <c:pt idx="73">
                  <c:v>2025-09-30</c:v>
                </c:pt>
                <c:pt idx="74">
                  <c:v>2025-12-31</c:v>
                </c:pt>
                <c:pt idx="75">
                  <c:v>2026-03-31</c:v>
                </c:pt>
                <c:pt idx="76">
                  <c:v>2026-06-30</c:v>
                </c:pt>
              </c:strCache>
            </c:strRef>
          </c:cat>
          <c:val>
            <c:numRef>
              <c:f>Quarterly!$R$8:$R$84</c:f>
              <c:numCache>
                <c:formatCode>\$#,##0.00;"($"#,##0.00\);\-</c:formatCode>
                <c:ptCount val="77"/>
                <c:pt idx="0">
                  <c:v>1.72</c:v>
                </c:pt>
                <c:pt idx="1">
                  <c:v>1.73</c:v>
                </c:pt>
                <c:pt idx="2">
                  <c:v>1.56</c:v>
                </c:pt>
                <c:pt idx="3">
                  <c:v>1.17</c:v>
                </c:pt>
                <c:pt idx="4">
                  <c:v>0.87</c:v>
                </c:pt>
                <c:pt idx="5">
                  <c:v>0.65</c:v>
                </c:pt>
                <c:pt idx="6">
                  <c:v>0.12</c:v>
                </c:pt>
                <c:pt idx="7">
                  <c:v>0.04</c:v>
                </c:pt>
                <c:pt idx="8">
                  <c:v>-0.03</c:v>
                </c:pt>
                <c:pt idx="9">
                  <c:v>0.19</c:v>
                </c:pt>
                <c:pt idx="10">
                  <c:v>0.85</c:v>
                </c:pt>
                <c:pt idx="11">
                  <c:v>1.06</c:v>
                </c:pt>
                <c:pt idx="12">
                  <c:v>1.01</c:v>
                </c:pt>
                <c:pt idx="13">
                  <c:v>1.1</c:v>
                </c:pt>
                <c:pt idx="14">
                  <c:v>0.96</c:v>
                </c:pt>
                <c:pt idx="15">
                  <c:v>0.98</c:v>
                </c:pt>
                <c:pt idx="16">
                  <c:v>1.36</c:v>
                </c:pt>
                <c:pt idx="17">
                  <c:v>1.44</c:v>
                </c:pt>
                <c:pt idx="18">
                  <c:v>1.49</c:v>
                </c:pt>
                <c:pt idx="19">
                  <c:v>1.31</c:v>
                </c:pt>
                <c:pt idx="20">
                  <c:v>1.37</c:v>
                </c:pt>
                <c:pt idx="21">
                  <c:v>1.31</c:v>
                </c:pt>
                <c:pt idx="22">
                  <c:v>1.8</c:v>
                </c:pt>
                <c:pt idx="23">
                  <c:v>2.07</c:v>
                </c:pt>
                <c:pt idx="24">
                  <c:v>2.23</c:v>
                </c:pt>
                <c:pt idx="25">
                  <c:v>2.36</c:v>
                </c:pt>
                <c:pt idx="26">
                  <c:v>2.26</c:v>
                </c:pt>
                <c:pt idx="27">
                  <c:v>2.2</c:v>
                </c:pt>
                <c:pt idx="28">
                  <c:v>2.21</c:v>
                </c:pt>
                <c:pt idx="29">
                  <c:v>2.39</c:v>
                </c:pt>
                <c:pt idx="30">
                  <c:v>2.58</c:v>
                </c:pt>
                <c:pt idx="31">
                  <c:v>2.83</c:v>
                </c:pt>
                <c:pt idx="32">
                  <c:v>2.82</c:v>
                </c:pt>
                <c:pt idx="33">
                  <c:v>2.92</c:v>
                </c:pt>
                <c:pt idx="34">
                  <c:v>3.24</c:v>
                </c:pt>
                <c:pt idx="35">
                  <c:v>3.31</c:v>
                </c:pt>
                <c:pt idx="36">
                  <c:v>3.7</c:v>
                </c:pt>
                <c:pt idx="37">
                  <c:v>4.11</c:v>
                </c:pt>
                <c:pt idx="38">
                  <c:v>4.32</c:v>
                </c:pt>
                <c:pt idx="39">
                  <c:v>5.3</c:v>
                </c:pt>
                <c:pt idx="40">
                  <c:v>5.32</c:v>
                </c:pt>
                <c:pt idx="41">
                  <c:v>5.32</c:v>
                </c:pt>
                <c:pt idx="42">
                  <c:v>5.44</c:v>
                </c:pt>
                <c:pt idx="43">
                  <c:v>6.07</c:v>
                </c:pt>
                <c:pt idx="44">
                  <c:v>6.66</c:v>
                </c:pt>
                <c:pt idx="45">
                  <c:v>6.67</c:v>
                </c:pt>
                <c:pt idx="46">
                  <c:v>9.05</c:v>
                </c:pt>
                <c:pt idx="47">
                  <c:v>8.47</c:v>
                </c:pt>
                <c:pt idx="48">
                  <c:v>8.89</c:v>
                </c:pt>
                <c:pt idx="49">
                  <c:v>8.92</c:v>
                </c:pt>
                <c:pt idx="50">
                  <c:v>7.71</c:v>
                </c:pt>
                <c:pt idx="51">
                  <c:v>7.26</c:v>
                </c:pt>
                <c:pt idx="52">
                  <c:v>6.72</c:v>
                </c:pt>
                <c:pt idx="53">
                  <c:v>6.57</c:v>
                </c:pt>
                <c:pt idx="54">
                  <c:v>9.52</c:v>
                </c:pt>
                <c:pt idx="55">
                  <c:v>11.6</c:v>
                </c:pt>
                <c:pt idx="56">
                  <c:v>13.24</c:v>
                </c:pt>
                <c:pt idx="57">
                  <c:v>16.09</c:v>
                </c:pt>
                <c:pt idx="58">
                  <c:v>17.57</c:v>
                </c:pt>
                <c:pt idx="59">
                  <c:v>18.08</c:v>
                </c:pt>
                <c:pt idx="60">
                  <c:v>17.37</c:v>
                </c:pt>
                <c:pt idx="61">
                  <c:v>15.61</c:v>
                </c:pt>
                <c:pt idx="62">
                  <c:v>11.96</c:v>
                </c:pt>
                <c:pt idx="63">
                  <c:v>10.32</c:v>
                </c:pt>
                <c:pt idx="64">
                  <c:v>8.82</c:v>
                </c:pt>
                <c:pt idx="65">
                  <c:v>7.92</c:v>
                </c:pt>
                <c:pt idx="66">
                  <c:v>6.44</c:v>
                </c:pt>
                <c:pt idx="67">
                  <c:v>6.41</c:v>
                </c:pt>
                <c:pt idx="68">
                  <c:v>7.26</c:v>
                </c:pt>
                <c:pt idx="69">
                  <c:v>8</c:v>
                </c:pt>
                <c:pt idx="70">
                  <c:v>9.39</c:v>
                </c:pt>
                <c:pt idx="71">
                  <c:v>10.75</c:v>
                </c:pt>
                <c:pt idx="72">
                  <c:v>11.36</c:v>
                </c:pt>
                <c:pt idx="73">
                  <c:v>12.8</c:v>
                </c:pt>
                <c:pt idx="74">
                  <c:v>14.52</c:v>
                </c:pt>
                <c:pt idx="75">
                  <c:v>18.56</c:v>
                </c:pt>
                <c:pt idx="76">
                  <c:v>19.05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"TTM GAAP EPS"</c:f>
              <c:strCache>
                <c:ptCount val="1"/>
                <c:pt idx="0">
                  <c:v>TTM GAAP EPS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Quarterly!$B$8:$B$84</c:f>
              <c:strCache>
                <c:ptCount val="77"/>
                <c:pt idx="0">
                  <c:v>2007-06-30</c:v>
                </c:pt>
                <c:pt idx="1">
                  <c:v>2007-09-30</c:v>
                </c:pt>
                <c:pt idx="2">
                  <c:v>2007-12-31</c:v>
                </c:pt>
                <c:pt idx="3">
                  <c:v>2008-03-31</c:v>
                </c:pt>
                <c:pt idx="4">
                  <c:v>2008-06-30</c:v>
                </c:pt>
                <c:pt idx="5">
                  <c:v>2008-09-30</c:v>
                </c:pt>
                <c:pt idx="6">
                  <c:v>2008-12-31</c:v>
                </c:pt>
                <c:pt idx="7">
                  <c:v>2009-03-31</c:v>
                </c:pt>
                <c:pt idx="8">
                  <c:v>2009-06-30</c:v>
                </c:pt>
                <c:pt idx="9">
                  <c:v>2009-09-30</c:v>
                </c:pt>
                <c:pt idx="10">
                  <c:v>2009-12-31</c:v>
                </c:pt>
                <c:pt idx="11">
                  <c:v>2010-03-31</c:v>
                </c:pt>
                <c:pt idx="12">
                  <c:v>2010-06-30</c:v>
                </c:pt>
                <c:pt idx="13">
                  <c:v>2010-09-30</c:v>
                </c:pt>
                <c:pt idx="14">
                  <c:v>2010-12-31</c:v>
                </c:pt>
                <c:pt idx="15">
                  <c:v>2011-03-31</c:v>
                </c:pt>
                <c:pt idx="16">
                  <c:v>2011-06-30</c:v>
                </c:pt>
                <c:pt idx="17">
                  <c:v>2011-09-30</c:v>
                </c:pt>
                <c:pt idx="18">
                  <c:v>2011-12-31</c:v>
                </c:pt>
                <c:pt idx="19">
                  <c:v>2012-03-31</c:v>
                </c:pt>
                <c:pt idx="20">
                  <c:v>2012-06-30</c:v>
                </c:pt>
                <c:pt idx="21">
                  <c:v>2012-09-30</c:v>
                </c:pt>
                <c:pt idx="22">
                  <c:v>2012-12-31</c:v>
                </c:pt>
                <c:pt idx="23">
                  <c:v>2013-03-31</c:v>
                </c:pt>
                <c:pt idx="24">
                  <c:v>2013-06-30</c:v>
                </c:pt>
                <c:pt idx="25">
                  <c:v>2013-09-30</c:v>
                </c:pt>
                <c:pt idx="26">
                  <c:v>2013-12-31</c:v>
                </c:pt>
                <c:pt idx="27">
                  <c:v>2014-03-31</c:v>
                </c:pt>
                <c:pt idx="28">
                  <c:v>2014-06-30</c:v>
                </c:pt>
                <c:pt idx="29">
                  <c:v>2014-09-30</c:v>
                </c:pt>
                <c:pt idx="30">
                  <c:v>2014-12-31</c:v>
                </c:pt>
                <c:pt idx="31">
                  <c:v>2015-03-31</c:v>
                </c:pt>
                <c:pt idx="32">
                  <c:v>2015-06-30</c:v>
                </c:pt>
                <c:pt idx="33">
                  <c:v>2015-09-30</c:v>
                </c:pt>
                <c:pt idx="34">
                  <c:v>2015-12-31</c:v>
                </c:pt>
                <c:pt idx="35">
                  <c:v>2016-03-31</c:v>
                </c:pt>
                <c:pt idx="36">
                  <c:v>2016-06-30</c:v>
                </c:pt>
                <c:pt idx="37">
                  <c:v>2016-09-30</c:v>
                </c:pt>
                <c:pt idx="38">
                  <c:v>2016-12-31</c:v>
                </c:pt>
                <c:pt idx="39">
                  <c:v>2017-03-31</c:v>
                </c:pt>
                <c:pt idx="40">
                  <c:v>2017-06-30</c:v>
                </c:pt>
                <c:pt idx="41">
                  <c:v>2017-09-30</c:v>
                </c:pt>
                <c:pt idx="42">
                  <c:v>2017-12-31</c:v>
                </c:pt>
                <c:pt idx="43">
                  <c:v>2018-03-31</c:v>
                </c:pt>
                <c:pt idx="44">
                  <c:v>2018-06-30</c:v>
                </c:pt>
                <c:pt idx="45">
                  <c:v>2018-09-30</c:v>
                </c:pt>
                <c:pt idx="46">
                  <c:v>2018-12-31</c:v>
                </c:pt>
                <c:pt idx="47">
                  <c:v>2019-03-31</c:v>
                </c:pt>
                <c:pt idx="48">
                  <c:v>2019-06-30</c:v>
                </c:pt>
                <c:pt idx="49">
                  <c:v>2019-09-30</c:v>
                </c:pt>
                <c:pt idx="50">
                  <c:v>2019-12-31</c:v>
                </c:pt>
                <c:pt idx="51">
                  <c:v>2020-03-31</c:v>
                </c:pt>
                <c:pt idx="52">
                  <c:v>2020-06-30</c:v>
                </c:pt>
                <c:pt idx="53">
                  <c:v>2020-09-30</c:v>
                </c:pt>
                <c:pt idx="54">
                  <c:v>2020-12-31</c:v>
                </c:pt>
                <c:pt idx="55">
                  <c:v>2021-03-31</c:v>
                </c:pt>
                <c:pt idx="56">
                  <c:v>2021-06-30</c:v>
                </c:pt>
                <c:pt idx="57">
                  <c:v>2021-09-30</c:v>
                </c:pt>
                <c:pt idx="58">
                  <c:v>2021-12-31</c:v>
                </c:pt>
                <c:pt idx="59">
                  <c:v>2022-03-31</c:v>
                </c:pt>
                <c:pt idx="60">
                  <c:v>2022-06-30</c:v>
                </c:pt>
                <c:pt idx="61">
                  <c:v>2022-09-30</c:v>
                </c:pt>
                <c:pt idx="62">
                  <c:v>2022-12-31</c:v>
                </c:pt>
                <c:pt idx="63">
                  <c:v>2023-03-31</c:v>
                </c:pt>
                <c:pt idx="64">
                  <c:v>2023-06-30</c:v>
                </c:pt>
                <c:pt idx="65">
                  <c:v>2023-09-30</c:v>
                </c:pt>
                <c:pt idx="66">
                  <c:v>2023-12-31</c:v>
                </c:pt>
                <c:pt idx="67">
                  <c:v>2024-03-31</c:v>
                </c:pt>
                <c:pt idx="68">
                  <c:v>2024-06-30</c:v>
                </c:pt>
                <c:pt idx="69">
                  <c:v>2024-09-30</c:v>
                </c:pt>
                <c:pt idx="70">
                  <c:v>2024-12-31</c:v>
                </c:pt>
                <c:pt idx="71">
                  <c:v>2025-03-31</c:v>
                </c:pt>
                <c:pt idx="72">
                  <c:v>2025-06-30</c:v>
                </c:pt>
                <c:pt idx="73">
                  <c:v>2025-09-30</c:v>
                </c:pt>
                <c:pt idx="74">
                  <c:v>2025-12-31</c:v>
                </c:pt>
                <c:pt idx="75">
                  <c:v>2026-03-31</c:v>
                </c:pt>
                <c:pt idx="76">
                  <c:v>2026-06-30</c:v>
                </c:pt>
              </c:strCache>
            </c:strRef>
          </c:cat>
          <c:val>
            <c:numRef>
              <c:f>Quarterly!$Q$8:$Q$84</c:f>
              <c:numCache>
                <c:formatCode>\$#,##0.00;"($"#,##0.00\);\-</c:formatCode>
                <c:ptCount val="77"/>
                <c:pt idx="1">
                  <c:v>-3.16</c:v>
                </c:pt>
                <c:pt idx="2">
                  <c:v>-3.6</c:v>
                </c:pt>
                <c:pt idx="3">
                  <c:v>-4.32</c:v>
                </c:pt>
                <c:pt idx="4">
                  <c:v>0.52</c:v>
                </c:pt>
                <c:pt idx="5">
                  <c:v>0.29</c:v>
                </c:pt>
                <c:pt idx="6">
                  <c:v>-0.35</c:v>
                </c:pt>
                <c:pt idx="7">
                  <c:v>-0.26</c:v>
                </c:pt>
                <c:pt idx="8">
                  <c:v>-0.85</c:v>
                </c:pt>
                <c:pt idx="9">
                  <c:v>-0.67</c:v>
                </c:pt>
                <c:pt idx="10">
                  <c:v>-0.21</c:v>
                </c:pt>
                <c:pt idx="11">
                  <c:v>-0.13</c:v>
                </c:pt>
                <c:pt idx="12">
                  <c:v>0.3</c:v>
                </c:pt>
                <c:pt idx="13">
                  <c:v>0.33</c:v>
                </c:pt>
                <c:pt idx="14">
                  <c:v>0.39</c:v>
                </c:pt>
                <c:pt idx="15">
                  <c:v>0.44</c:v>
                </c:pt>
                <c:pt idx="16">
                  <c:v>0.52</c:v>
                </c:pt>
                <c:pt idx="17">
                  <c:v>0.41</c:v>
                </c:pt>
                <c:pt idx="18">
                  <c:v>0.26</c:v>
                </c:pt>
                <c:pt idx="19">
                  <c:v>0</c:v>
                </c:pt>
                <c:pt idx="20">
                  <c:v>0.17</c:v>
                </c:pt>
                <c:pt idx="21">
                  <c:v>0.28</c:v>
                </c:pt>
                <c:pt idx="22">
                  <c:v>0.86</c:v>
                </c:pt>
                <c:pt idx="23">
                  <c:v>1.14</c:v>
                </c:pt>
                <c:pt idx="24">
                  <c:v>1.33</c:v>
                </c:pt>
                <c:pt idx="25">
                  <c:v>1.52</c:v>
                </c:pt>
                <c:pt idx="26">
                  <c:v>1.38</c:v>
                </c:pt>
                <c:pt idx="27">
                  <c:v>1.47</c:v>
                </c:pt>
                <c:pt idx="28">
                  <c:v>1.61</c:v>
                </c:pt>
                <c:pt idx="29">
                  <c:v>1.83</c:v>
                </c:pt>
                <c:pt idx="30">
                  <c:v>2.07</c:v>
                </c:pt>
                <c:pt idx="31">
                  <c:v>1.92</c:v>
                </c:pt>
                <c:pt idx="32">
                  <c:v>1.6</c:v>
                </c:pt>
                <c:pt idx="33">
                  <c:v>1.18</c:v>
                </c:pt>
                <c:pt idx="34">
                  <c:v>0.97</c:v>
                </c:pt>
                <c:pt idx="35">
                  <c:v>0.99</c:v>
                </c:pt>
                <c:pt idx="36">
                  <c:v>1.28</c:v>
                </c:pt>
                <c:pt idx="37">
                  <c:v>1.91</c:v>
                </c:pt>
                <c:pt idx="38">
                  <c:v>2.44</c:v>
                </c:pt>
                <c:pt idx="39">
                  <c:v>4.08</c:v>
                </c:pt>
                <c:pt idx="40">
                  <c:v>3.94</c:v>
                </c:pt>
                <c:pt idx="41">
                  <c:v>4.19</c:v>
                </c:pt>
                <c:pt idx="42">
                  <c:v>2.71</c:v>
                </c:pt>
                <c:pt idx="43">
                  <c:v>3.05</c:v>
                </c:pt>
                <c:pt idx="44">
                  <c:v>4.16</c:v>
                </c:pt>
                <c:pt idx="45">
                  <c:v>4.2</c:v>
                </c:pt>
                <c:pt idx="46">
                  <c:v>8.37</c:v>
                </c:pt>
                <c:pt idx="47">
                  <c:v>7.79</c:v>
                </c:pt>
                <c:pt idx="48">
                  <c:v>8.15</c:v>
                </c:pt>
                <c:pt idx="49">
                  <c:v>8.08</c:v>
                </c:pt>
                <c:pt idx="50">
                  <c:v>6.89</c:v>
                </c:pt>
                <c:pt idx="51">
                  <c:v>6.11</c:v>
                </c:pt>
                <c:pt idx="52">
                  <c:v>5.58</c:v>
                </c:pt>
                <c:pt idx="53">
                  <c:v>5.58</c:v>
                </c:pt>
                <c:pt idx="54">
                  <c:v>8.12</c:v>
                </c:pt>
                <c:pt idx="55">
                  <c:v>10.63</c:v>
                </c:pt>
                <c:pt idx="56">
                  <c:v>12.49</c:v>
                </c:pt>
                <c:pt idx="57">
                  <c:v>15.22</c:v>
                </c:pt>
                <c:pt idx="58">
                  <c:v>17.16</c:v>
                </c:pt>
                <c:pt idx="59">
                  <c:v>17.7</c:v>
                </c:pt>
                <c:pt idx="60">
                  <c:v>16.82</c:v>
                </c:pt>
                <c:pt idx="61">
                  <c:v>15.11</c:v>
                </c:pt>
                <c:pt idx="62">
                  <c:v>11.59</c:v>
                </c:pt>
                <c:pt idx="63">
                  <c:v>9.86</c:v>
                </c:pt>
                <c:pt idx="64">
                  <c:v>8.48</c:v>
                </c:pt>
                <c:pt idx="65">
                  <c:v>7.75</c:v>
                </c:pt>
                <c:pt idx="66">
                  <c:v>6.34</c:v>
                </c:pt>
                <c:pt idx="67">
                  <c:v>6.37</c:v>
                </c:pt>
                <c:pt idx="68">
                  <c:v>7.23</c:v>
                </c:pt>
                <c:pt idx="69">
                  <c:v>7.79</c:v>
                </c:pt>
                <c:pt idx="70">
                  <c:v>9.06</c:v>
                </c:pt>
                <c:pt idx="71">
                  <c:v>10.45</c:v>
                </c:pt>
                <c:pt idx="72">
                  <c:v>11</c:v>
                </c:pt>
                <c:pt idx="73">
                  <c:v>12.55</c:v>
                </c:pt>
                <c:pt idx="74">
                  <c:v>14.01</c:v>
                </c:pt>
                <c:pt idx="75">
                  <c:v>17.73</c:v>
                </c:pt>
                <c:pt idx="76">
                  <c:v>17.69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296497"/>
        <c:axId val="11633791"/>
      </c:lineChart>
      <c:catAx>
        <c:axId val="76296497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33791"/>
        <c:crosses val="autoZero"/>
        <c:auto val="1"/>
        <c:lblAlgn val="ctr"/>
        <c:lblOffset val="100"/>
        <c:noMultiLvlLbl val="0"/>
      </c:catAx>
      <c:valAx>
        <c:axId val="11633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964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15</xdr:col>
      <xdr:colOff>187200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0" y="3808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15</xdr:col>
      <xdr:colOff>187200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0" y="40006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160920</xdr:rowOff>
    </xdr:from>
    <xdr:to>
      <xdr:col>15</xdr:col>
      <xdr:colOff>187200</xdr:colOff>
      <xdr:row>56</xdr:row>
      <xdr:rowOff>162000</xdr:rowOff>
    </xdr:to>
    <xdr:graphicFrame>
      <xdr:nvGraphicFramePr>
        <xdr:cNvPr id="2" name="Chart 3"/>
        <xdr:cNvGraphicFramePr/>
      </xdr:nvGraphicFramePr>
      <xdr:xfrm>
        <a:off x="0" y="762012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58</xdr:row>
      <xdr:rowOff>160560</xdr:rowOff>
    </xdr:from>
    <xdr:to>
      <xdr:col>15</xdr:col>
      <xdr:colOff>187200</xdr:colOff>
      <xdr:row>75</xdr:row>
      <xdr:rowOff>162000</xdr:rowOff>
    </xdr:to>
    <xdr:graphicFrame>
      <xdr:nvGraphicFramePr>
        <xdr:cNvPr id="3" name="Chart 4"/>
        <xdr:cNvGraphicFramePr/>
      </xdr:nvGraphicFramePr>
      <xdr:xfrm>
        <a:off x="0" y="1123956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9" min="5" style="0" width="10"/>
    <col collapsed="false" customWidth="true" hidden="false" outlineLevel="0" max="11" min="10" style="0" width="9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21" min="16" style="0" width="9"/>
    <col collapsed="false" customWidth="true" hidden="false" outlineLevel="0" max="22" min="22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15" hidden="false" customHeight="false" outlineLevel="0" collapsed="false">
      <c r="A5" s="4" t="s">
        <v>24</v>
      </c>
      <c r="B5" s="5" t="n">
        <v>38990</v>
      </c>
      <c r="C5" s="6" t="n">
        <v>41.735</v>
      </c>
      <c r="E5" s="6" t="n">
        <v>14.715</v>
      </c>
      <c r="F5" s="7" t="n">
        <f aca="false">G5-E5</f>
        <v>9.167</v>
      </c>
      <c r="G5" s="6" t="n">
        <v>23.882</v>
      </c>
      <c r="H5" s="7" t="n">
        <f aca="false">C5-G5</f>
        <v>17.853</v>
      </c>
      <c r="I5" s="8" t="s">
        <v>25</v>
      </c>
      <c r="J5" s="8" t="s">
        <v>25</v>
      </c>
      <c r="K5" s="9" t="n">
        <v>0.28</v>
      </c>
      <c r="L5" s="10" t="n">
        <f aca="false">E5/C5</f>
        <v>0.352581765903918</v>
      </c>
      <c r="M5" s="10" t="n">
        <f aca="false">H5/C5</f>
        <v>0.42777045645142</v>
      </c>
      <c r="N5" s="11" t="str">
        <f aca="false">IF(ISNUMBER(I5),I5/C5,"n/m")</f>
        <v>n/m</v>
      </c>
      <c r="S5" s="9" t="n">
        <v>28.8</v>
      </c>
      <c r="V5" s="2" t="s">
        <v>26</v>
      </c>
    </row>
    <row r="6" customFormat="false" ht="15" hidden="false" customHeight="false" outlineLevel="0" collapsed="false">
      <c r="A6" s="4" t="s">
        <v>27</v>
      </c>
      <c r="B6" s="5" t="n">
        <v>39082</v>
      </c>
      <c r="C6" s="6" t="n">
        <v>78.863</v>
      </c>
      <c r="E6" s="6" t="n">
        <v>41.347</v>
      </c>
      <c r="F6" s="7" t="n">
        <f aca="false">G6-E6</f>
        <v>13.721</v>
      </c>
      <c r="G6" s="6" t="n">
        <v>55.068</v>
      </c>
      <c r="H6" s="7" t="n">
        <f aca="false">C6-G6</f>
        <v>23.795</v>
      </c>
      <c r="I6" s="6" t="n">
        <v>3.487</v>
      </c>
      <c r="J6" s="9" t="n">
        <v>0.69</v>
      </c>
      <c r="K6" s="9" t="n">
        <v>0.45</v>
      </c>
      <c r="L6" s="10" t="n">
        <f aca="false">E6/C6</f>
        <v>0.524288956798499</v>
      </c>
      <c r="M6" s="10" t="n">
        <f aca="false">H6/C6</f>
        <v>0.301725777614344</v>
      </c>
      <c r="N6" s="11" t="n">
        <f aca="false">IF(ISNUMBER(I6),I6/C6,"n/m")</f>
        <v>0.0442159187451657</v>
      </c>
      <c r="S6" s="9" t="n">
        <v>36.85</v>
      </c>
      <c r="V6" s="2" t="s">
        <v>28</v>
      </c>
    </row>
    <row r="7" customFormat="false" ht="15" hidden="false" customHeight="false" outlineLevel="0" collapsed="false">
      <c r="A7" s="4" t="s">
        <v>29</v>
      </c>
      <c r="B7" s="5" t="n">
        <v>39172</v>
      </c>
      <c r="C7" s="6" t="n">
        <v>89.496</v>
      </c>
      <c r="E7" s="6" t="n">
        <v>47.623</v>
      </c>
      <c r="F7" s="7" t="n">
        <f aca="false">G7-E7</f>
        <v>17.777</v>
      </c>
      <c r="G7" s="6" t="n">
        <v>65.4</v>
      </c>
      <c r="H7" s="7" t="n">
        <f aca="false">C7-G7</f>
        <v>24.096</v>
      </c>
      <c r="I7" s="6" t="n">
        <v>4.22</v>
      </c>
      <c r="J7" s="9" t="n">
        <v>0.64</v>
      </c>
      <c r="K7" s="9" t="n">
        <v>0.52</v>
      </c>
      <c r="L7" s="10" t="n">
        <f aca="false">E7/C7</f>
        <v>0.532124340752659</v>
      </c>
      <c r="M7" s="10" t="n">
        <f aca="false">H7/C7</f>
        <v>0.269241083400375</v>
      </c>
      <c r="N7" s="11" t="n">
        <f aca="false">IF(ISNUMBER(I7),I7/C7,"n/m")</f>
        <v>0.0471529453830339</v>
      </c>
      <c r="S7" s="9" t="n">
        <v>31.19</v>
      </c>
      <c r="V7" s="2" t="s">
        <v>30</v>
      </c>
    </row>
    <row r="8" customFormat="false" ht="15" hidden="false" customHeight="false" outlineLevel="0" collapsed="false">
      <c r="A8" s="4" t="s">
        <v>31</v>
      </c>
      <c r="B8" s="5" t="n">
        <v>39263</v>
      </c>
      <c r="C8" s="6" t="n">
        <v>65.912</v>
      </c>
      <c r="E8" s="6" t="n">
        <v>151.176</v>
      </c>
      <c r="F8" s="7" t="n">
        <f aca="false">G8-E8</f>
        <v>18.382</v>
      </c>
      <c r="G8" s="6" t="n">
        <v>169.558</v>
      </c>
      <c r="H8" s="7" t="n">
        <f aca="false">C8-G8</f>
        <v>-103.646</v>
      </c>
      <c r="I8" s="6" t="n">
        <v>-44.174</v>
      </c>
      <c r="J8" s="9" t="n">
        <v>-4.68</v>
      </c>
      <c r="K8" s="9" t="n">
        <v>0.47</v>
      </c>
      <c r="L8" s="10" t="n">
        <f aca="false">E8/C8</f>
        <v>2.29360359266901</v>
      </c>
      <c r="M8" s="10" t="n">
        <f aca="false">H8/C8</f>
        <v>-1.57249059351863</v>
      </c>
      <c r="N8" s="11" t="n">
        <f aca="false">IF(ISNUMBER(I8),I8/C8,"n/m")</f>
        <v>-0.670196625804102</v>
      </c>
      <c r="O8" s="7" t="n">
        <f aca="false">SUM(C5:C8)</f>
        <v>276.006</v>
      </c>
      <c r="P8" s="10" t="n">
        <f aca="false">SUM(H5:H8)/O8</f>
        <v>-0.137323101671703</v>
      </c>
      <c r="R8" s="12" t="n">
        <f aca="false">SUM(K5:K8)</f>
        <v>1.72</v>
      </c>
      <c r="S8" s="9" t="n">
        <v>29.77</v>
      </c>
      <c r="U8" s="13" t="n">
        <f aca="false">IF(R8&gt;0,S8/R8,"n/m")</f>
        <v>17.3081395348837</v>
      </c>
      <c r="V8" s="2" t="s">
        <v>32</v>
      </c>
    </row>
    <row r="9" customFormat="false" ht="15" hidden="false" customHeight="false" outlineLevel="0" collapsed="false">
      <c r="A9" s="4" t="s">
        <v>33</v>
      </c>
      <c r="B9" s="5" t="n">
        <v>39355</v>
      </c>
      <c r="C9" s="6" t="n">
        <v>72.399</v>
      </c>
      <c r="D9" s="10" t="n">
        <f aca="false">C9/C5-1</f>
        <v>0.734731041092608</v>
      </c>
      <c r="E9" s="6" t="n">
        <v>42.777</v>
      </c>
      <c r="F9" s="7" t="n">
        <f aca="false">G9-E9</f>
        <v>19.258</v>
      </c>
      <c r="G9" s="6" t="n">
        <v>62.035</v>
      </c>
      <c r="H9" s="7" t="n">
        <f aca="false">C9-G9</f>
        <v>10.364</v>
      </c>
      <c r="I9" s="6" t="n">
        <v>2.319</v>
      </c>
      <c r="J9" s="9" t="n">
        <v>0.19</v>
      </c>
      <c r="K9" s="9" t="n">
        <v>0.29</v>
      </c>
      <c r="L9" s="10" t="n">
        <f aca="false">E9/C9</f>
        <v>0.590850702357767</v>
      </c>
      <c r="M9" s="10" t="n">
        <f aca="false">H9/C9</f>
        <v>0.143151148496526</v>
      </c>
      <c r="N9" s="11" t="n">
        <f aca="false">IF(ISNUMBER(I9),I9/C9,"n/m")</f>
        <v>0.0320308291550988</v>
      </c>
      <c r="O9" s="7" t="n">
        <f aca="false">SUM(C6:C9)</f>
        <v>306.67</v>
      </c>
      <c r="P9" s="10" t="n">
        <f aca="false">SUM(H6:H9)/O9</f>
        <v>-0.148012521603026</v>
      </c>
      <c r="Q9" s="12" t="n">
        <f aca="false">SUM(J6:J9)</f>
        <v>-3.16</v>
      </c>
      <c r="R9" s="12" t="n">
        <f aca="false">SUM(K6:K9)</f>
        <v>1.73</v>
      </c>
      <c r="S9" s="9" t="n">
        <v>26.29</v>
      </c>
      <c r="T9" s="13" t="str">
        <f aca="false">IF(Q9&gt;0,S9/Q9,"n/m")</f>
        <v>n/m</v>
      </c>
      <c r="U9" s="13" t="n">
        <f aca="false">IF(R9&gt;0,S9/R9,"n/m")</f>
        <v>15.1965317919075</v>
      </c>
      <c r="V9" s="2" t="s">
        <v>34</v>
      </c>
    </row>
    <row r="10" customFormat="false" ht="15" hidden="false" customHeight="false" outlineLevel="0" collapsed="false">
      <c r="A10" s="4" t="s">
        <v>35</v>
      </c>
      <c r="B10" s="5" t="n">
        <v>39447</v>
      </c>
      <c r="C10" s="6" t="n">
        <v>93.792</v>
      </c>
      <c r="D10" s="10" t="n">
        <f aca="false">C10/C6-1</f>
        <v>0.189302968438938</v>
      </c>
      <c r="E10" s="6" t="n">
        <v>57.751</v>
      </c>
      <c r="F10" s="7" t="n">
        <f aca="false">G10-E10</f>
        <v>21.79</v>
      </c>
      <c r="G10" s="6" t="n">
        <v>79.541</v>
      </c>
      <c r="H10" s="7" t="n">
        <f aca="false">C10-G10</f>
        <v>14.251</v>
      </c>
      <c r="I10" s="6" t="n">
        <v>3.138</v>
      </c>
      <c r="J10" s="9" t="n">
        <v>0.25</v>
      </c>
      <c r="K10" s="9" t="n">
        <v>0.28</v>
      </c>
      <c r="L10" s="10" t="n">
        <f aca="false">E10/C10</f>
        <v>0.615734817468441</v>
      </c>
      <c r="M10" s="10" t="n">
        <f aca="false">H10/C10</f>
        <v>0.151942596383487</v>
      </c>
      <c r="N10" s="11" t="n">
        <f aca="false">IF(ISNUMBER(I10),I10/C10,"n/m")</f>
        <v>0.033457011258956</v>
      </c>
      <c r="O10" s="7" t="n">
        <f aca="false">SUM(C7:C10)</f>
        <v>321.599</v>
      </c>
      <c r="P10" s="10" t="n">
        <f aca="false">SUM(H7:H10)/O10</f>
        <v>-0.170818317221136</v>
      </c>
      <c r="Q10" s="12" t="n">
        <f aca="false">SUM(J7:J10)</f>
        <v>-3.6</v>
      </c>
      <c r="R10" s="12" t="n">
        <f aca="false">SUM(K7:K10)</f>
        <v>1.56</v>
      </c>
      <c r="S10" s="9" t="n">
        <v>21.55</v>
      </c>
      <c r="T10" s="13" t="str">
        <f aca="false">IF(Q10&gt;0,S10/Q10,"n/m")</f>
        <v>n/m</v>
      </c>
      <c r="U10" s="13" t="n">
        <f aca="false">IF(R10&gt;0,S10/R10,"n/m")</f>
        <v>13.8141025641026</v>
      </c>
      <c r="V10" s="2" t="s">
        <v>36</v>
      </c>
    </row>
    <row r="11" customFormat="false" ht="15" hidden="false" customHeight="false" outlineLevel="0" collapsed="false">
      <c r="A11" s="4" t="s">
        <v>37</v>
      </c>
      <c r="B11" s="5" t="n">
        <v>39538</v>
      </c>
      <c r="C11" s="6" t="n">
        <v>44.488</v>
      </c>
      <c r="D11" s="10" t="n">
        <f aca="false">C11/C7-1</f>
        <v>-0.502905157772414</v>
      </c>
      <c r="E11" s="6" t="n">
        <v>33.255</v>
      </c>
      <c r="F11" s="7" t="n">
        <f aca="false">G11-E11</f>
        <v>13.835</v>
      </c>
      <c r="G11" s="6" t="n">
        <v>47.09</v>
      </c>
      <c r="H11" s="7" t="n">
        <f aca="false">C11-G11</f>
        <v>-2.602</v>
      </c>
      <c r="I11" s="6" t="n">
        <v>-0.965</v>
      </c>
      <c r="J11" s="9" t="n">
        <v>-0.08</v>
      </c>
      <c r="K11" s="9" t="n">
        <v>0.13</v>
      </c>
      <c r="L11" s="10" t="n">
        <f aca="false">E11/C11</f>
        <v>0.747504945153749</v>
      </c>
      <c r="M11" s="10" t="n">
        <f aca="false">H11/C11</f>
        <v>-0.05848768207157</v>
      </c>
      <c r="N11" s="11" t="n">
        <f aca="false">IF(ISNUMBER(I11),I11/C11,"n/m")</f>
        <v>-0.0216912425822694</v>
      </c>
      <c r="O11" s="7" t="n">
        <f aca="false">SUM(C8:C11)</f>
        <v>276.591</v>
      </c>
      <c r="P11" s="10" t="n">
        <f aca="false">SUM(H8:H11)/O11</f>
        <v>-0.295139755089645</v>
      </c>
      <c r="Q11" s="12" t="n">
        <f aca="false">SUM(J8:J11)</f>
        <v>-4.32</v>
      </c>
      <c r="R11" s="12" t="n">
        <f aca="false">SUM(K8:K11)</f>
        <v>1.17</v>
      </c>
      <c r="S11" s="9" t="n">
        <v>17.75</v>
      </c>
      <c r="T11" s="13" t="str">
        <f aca="false">IF(Q11&gt;0,S11/Q11,"n/m")</f>
        <v>n/m</v>
      </c>
      <c r="U11" s="13" t="n">
        <f aca="false">IF(R11&gt;0,S11/R11,"n/m")</f>
        <v>15.1709401709402</v>
      </c>
      <c r="V11" s="2" t="s">
        <v>38</v>
      </c>
    </row>
    <row r="12" customFormat="false" ht="15" hidden="false" customHeight="false" outlineLevel="0" collapsed="false">
      <c r="A12" s="4" t="s">
        <v>39</v>
      </c>
      <c r="B12" s="5" t="n">
        <v>39629</v>
      </c>
      <c r="C12" s="6" t="n">
        <v>60.118</v>
      </c>
      <c r="D12" s="10" t="n">
        <f aca="false">C12/C8-1</f>
        <v>-0.0879050855686371</v>
      </c>
      <c r="E12" s="6" t="n">
        <v>38.512</v>
      </c>
      <c r="F12" s="7" t="n">
        <f aca="false">G12-E12</f>
        <v>13.737</v>
      </c>
      <c r="G12" s="6" t="n">
        <v>52.249</v>
      </c>
      <c r="H12" s="7" t="n">
        <f aca="false">C12-G12</f>
        <v>7.869</v>
      </c>
      <c r="I12" s="6" t="n">
        <v>2.056</v>
      </c>
      <c r="J12" s="9" t="n">
        <v>0.16</v>
      </c>
      <c r="K12" s="9" t="n">
        <v>0.17</v>
      </c>
      <c r="L12" s="10" t="n">
        <f aca="false">E12/C12</f>
        <v>0.64060680661366</v>
      </c>
      <c r="M12" s="10" t="n">
        <f aca="false">H12/C12</f>
        <v>0.130892577930071</v>
      </c>
      <c r="N12" s="11" t="n">
        <f aca="false">IF(ISNUMBER(I12),I12/C12,"n/m")</f>
        <v>0.0341994078312652</v>
      </c>
      <c r="O12" s="7" t="n">
        <f aca="false">SUM(C9:C12)</f>
        <v>270.797</v>
      </c>
      <c r="P12" s="10" t="n">
        <f aca="false">SUM(H9:H12)/O12</f>
        <v>0.11034834211605</v>
      </c>
      <c r="Q12" s="12" t="n">
        <f aca="false">SUM(J9:J12)</f>
        <v>0.52</v>
      </c>
      <c r="R12" s="12" t="n">
        <f aca="false">SUM(K9:K12)</f>
        <v>0.87</v>
      </c>
      <c r="S12" s="9" t="n">
        <v>9.5</v>
      </c>
      <c r="T12" s="13" t="n">
        <f aca="false">IF(Q12&gt;0,S12/Q12,"n/m")</f>
        <v>18.2692307692308</v>
      </c>
      <c r="U12" s="13" t="n">
        <f aca="false">IF(R12&gt;0,S12/R12,"n/m")</f>
        <v>10.9195402298851</v>
      </c>
      <c r="V12" s="2" t="s">
        <v>40</v>
      </c>
    </row>
    <row r="13" customFormat="false" ht="15" hidden="false" customHeight="false" outlineLevel="0" collapsed="false">
      <c r="A13" s="4" t="s">
        <v>41</v>
      </c>
      <c r="B13" s="5" t="n">
        <v>39721</v>
      </c>
      <c r="C13" s="6" t="n">
        <v>56.813</v>
      </c>
      <c r="D13" s="10" t="n">
        <f aca="false">C13/C9-1</f>
        <v>-0.215279216563765</v>
      </c>
      <c r="E13" s="6" t="n">
        <v>40.311</v>
      </c>
      <c r="F13" s="7" t="n">
        <f aca="false">G13-E13</f>
        <v>14.632</v>
      </c>
      <c r="G13" s="6" t="n">
        <v>54.943</v>
      </c>
      <c r="H13" s="7" t="n">
        <f aca="false">C13-G13</f>
        <v>1.87</v>
      </c>
      <c r="I13" s="6" t="n">
        <v>-0.468</v>
      </c>
      <c r="J13" s="9" t="n">
        <v>-0.04</v>
      </c>
      <c r="K13" s="9" t="n">
        <v>0.07</v>
      </c>
      <c r="L13" s="10" t="n">
        <f aca="false">E13/C13</f>
        <v>0.709538309893862</v>
      </c>
      <c r="M13" s="10" t="n">
        <f aca="false">H13/C13</f>
        <v>0.0329150018481686</v>
      </c>
      <c r="N13" s="11" t="n">
        <f aca="false">IF(ISNUMBER(I13),I13/C13,"n/m")</f>
        <v>-0.00823755126467534</v>
      </c>
      <c r="O13" s="7" t="n">
        <f aca="false">SUM(C10:C13)</f>
        <v>255.211</v>
      </c>
      <c r="P13" s="10" t="n">
        <f aca="false">SUM(H10:H13)/O13</f>
        <v>0.0838051651378663</v>
      </c>
      <c r="Q13" s="12" t="n">
        <f aca="false">SUM(J10:J13)</f>
        <v>0.29</v>
      </c>
      <c r="R13" s="12" t="n">
        <f aca="false">SUM(K10:K13)</f>
        <v>0.65</v>
      </c>
      <c r="S13" s="9" t="n">
        <v>17.98</v>
      </c>
      <c r="T13" s="13" t="n">
        <f aca="false">IF(Q13&gt;0,S13/Q13,"n/m")</f>
        <v>62</v>
      </c>
      <c r="U13" s="13" t="n">
        <f aca="false">IF(R13&gt;0,S13/R13,"n/m")</f>
        <v>27.6615384615385</v>
      </c>
      <c r="V13" s="2" t="s">
        <v>42</v>
      </c>
    </row>
    <row r="14" customFormat="false" ht="15" hidden="false" customHeight="false" outlineLevel="0" collapsed="false">
      <c r="A14" s="4" t="s">
        <v>43</v>
      </c>
      <c r="B14" s="5" t="n">
        <v>39813</v>
      </c>
      <c r="C14" s="6" t="n">
        <v>33.236</v>
      </c>
      <c r="D14" s="10" t="n">
        <f aca="false">C14/C10-1</f>
        <v>-0.645641419310816</v>
      </c>
      <c r="E14" s="6" t="n">
        <v>34.585</v>
      </c>
      <c r="F14" s="7" t="n">
        <f aca="false">G14-E14</f>
        <v>15.172</v>
      </c>
      <c r="G14" s="6" t="n">
        <v>49.757</v>
      </c>
      <c r="H14" s="7" t="n">
        <f aca="false">C14-G14</f>
        <v>-16.521</v>
      </c>
      <c r="I14" s="6" t="n">
        <v>-5.336</v>
      </c>
      <c r="J14" s="9" t="n">
        <v>-0.39</v>
      </c>
      <c r="K14" s="9" t="n">
        <v>-0.25</v>
      </c>
      <c r="L14" s="10" t="n">
        <f aca="false">E14/C14</f>
        <v>1.04058851847394</v>
      </c>
      <c r="M14" s="10" t="n">
        <f aca="false">H14/C14</f>
        <v>-0.497081477915513</v>
      </c>
      <c r="N14" s="11" t="n">
        <f aca="false">IF(ISNUMBER(I14),I14/C14,"n/m")</f>
        <v>-0.16054880250331</v>
      </c>
      <c r="O14" s="7" t="n">
        <f aca="false">SUM(C11:C14)</f>
        <v>194.655</v>
      </c>
      <c r="P14" s="10" t="n">
        <f aca="false">SUM(H11:H14)/O14</f>
        <v>-0.0482083686522309</v>
      </c>
      <c r="Q14" s="12" t="n">
        <f aca="false">SUM(J11:J14)</f>
        <v>-0.35</v>
      </c>
      <c r="R14" s="12" t="n">
        <f aca="false">SUM(K11:K14)</f>
        <v>0.12</v>
      </c>
      <c r="S14" s="9" t="n">
        <v>12.49</v>
      </c>
      <c r="T14" s="13" t="str">
        <f aca="false">IF(Q14&gt;0,S14/Q14,"n/m")</f>
        <v>n/m</v>
      </c>
      <c r="U14" s="13" t="n">
        <f aca="false">IF(R14&gt;0,S14/R14,"n/m")</f>
        <v>104.083333333333</v>
      </c>
      <c r="V14" s="2" t="s">
        <v>44</v>
      </c>
    </row>
    <row r="15" customFormat="false" ht="15" hidden="false" customHeight="false" outlineLevel="0" collapsed="false">
      <c r="A15" s="4" t="s">
        <v>45</v>
      </c>
      <c r="B15" s="5" t="n">
        <v>39903</v>
      </c>
      <c r="C15" s="6" t="n">
        <v>49.726</v>
      </c>
      <c r="D15" s="10" t="n">
        <f aca="false">C15/C11-1</f>
        <v>0.117739615177126</v>
      </c>
      <c r="E15" s="6" t="n">
        <v>35.854</v>
      </c>
      <c r="F15" s="7" t="n">
        <f aca="false">G15-E15</f>
        <v>12.417</v>
      </c>
      <c r="G15" s="6" t="n">
        <v>48.271</v>
      </c>
      <c r="H15" s="7" t="n">
        <f aca="false">C15-G15</f>
        <v>1.455</v>
      </c>
      <c r="I15" s="6" t="n">
        <v>0.191</v>
      </c>
      <c r="J15" s="9" t="n">
        <v>0.01</v>
      </c>
      <c r="K15" s="9" t="n">
        <v>0.05</v>
      </c>
      <c r="L15" s="10" t="n">
        <f aca="false">E15/C15</f>
        <v>0.721031251256888</v>
      </c>
      <c r="M15" s="10" t="n">
        <f aca="false">H15/C15</f>
        <v>0.0292603466999155</v>
      </c>
      <c r="N15" s="11" t="n">
        <f aca="false">IF(ISNUMBER(I15),I15/C15,"n/m")</f>
        <v>0.00384104894823634</v>
      </c>
      <c r="O15" s="7" t="n">
        <f aca="false">SUM(C12:C15)</f>
        <v>199.893</v>
      </c>
      <c r="P15" s="10" t="n">
        <f aca="false">SUM(H12:H15)/O15</f>
        <v>-0.0266492573526837</v>
      </c>
      <c r="Q15" s="12" t="n">
        <f aca="false">SUM(J12:J15)</f>
        <v>-0.26</v>
      </c>
      <c r="R15" s="12" t="n">
        <f aca="false">SUM(K12:K15)</f>
        <v>0.04</v>
      </c>
      <c r="S15" s="9" t="n">
        <v>15.45</v>
      </c>
      <c r="T15" s="13" t="str">
        <f aca="false">IF(Q15&gt;0,S15/Q15,"n/m")</f>
        <v>n/m</v>
      </c>
      <c r="U15" s="13" t="n">
        <f aca="false">IF(R15&gt;0,S15/R15,"n/m")</f>
        <v>386.25</v>
      </c>
      <c r="V15" s="2" t="s">
        <v>46</v>
      </c>
    </row>
    <row r="16" customFormat="false" ht="15" hidden="false" customHeight="false" outlineLevel="0" collapsed="false">
      <c r="A16" s="4" t="s">
        <v>47</v>
      </c>
      <c r="B16" s="5" t="n">
        <v>39994</v>
      </c>
      <c r="C16" s="6" t="n">
        <v>71.043</v>
      </c>
      <c r="D16" s="10" t="n">
        <f aca="false">C16/C12-1</f>
        <v>0.18172593898666</v>
      </c>
      <c r="E16" s="6" t="n">
        <v>51.859</v>
      </c>
      <c r="F16" s="7" t="n">
        <f aca="false">G16-E16</f>
        <v>32.121</v>
      </c>
      <c r="G16" s="6" t="n">
        <v>83.98</v>
      </c>
      <c r="H16" s="7" t="n">
        <f aca="false">C16-G16</f>
        <v>-12.937</v>
      </c>
      <c r="I16" s="6" t="n">
        <v>-6.043</v>
      </c>
      <c r="J16" s="9" t="n">
        <v>-0.43</v>
      </c>
      <c r="K16" s="9" t="n">
        <v>0.1</v>
      </c>
      <c r="L16" s="10" t="n">
        <f aca="false">E16/C16</f>
        <v>0.729966358402658</v>
      </c>
      <c r="M16" s="10" t="n">
        <f aca="false">H16/C16</f>
        <v>-0.182100981095956</v>
      </c>
      <c r="N16" s="11" t="n">
        <f aca="false">IF(ISNUMBER(I16),I16/C16,"n/m")</f>
        <v>-0.0850611601424489</v>
      </c>
      <c r="O16" s="7" t="n">
        <f aca="false">SUM(C13:C16)</f>
        <v>210.818</v>
      </c>
      <c r="P16" s="10" t="n">
        <f aca="false">SUM(H13:H16)/O16</f>
        <v>-0.123960003415268</v>
      </c>
      <c r="Q16" s="12" t="n">
        <f aca="false">SUM(J13:J16)</f>
        <v>-0.85</v>
      </c>
      <c r="R16" s="12" t="n">
        <f aca="false">SUM(K13:K16)</f>
        <v>-0.03</v>
      </c>
      <c r="S16" s="9" t="n">
        <v>19.64</v>
      </c>
      <c r="T16" s="13" t="str">
        <f aca="false">IF(Q16&gt;0,S16/Q16,"n/m")</f>
        <v>n/m</v>
      </c>
      <c r="U16" s="13" t="str">
        <f aca="false">IF(R16&gt;0,S16/R16,"n/m")</f>
        <v>n/m</v>
      </c>
      <c r="V16" s="2" t="s">
        <v>48</v>
      </c>
    </row>
    <row r="17" customFormat="false" ht="15" hidden="false" customHeight="false" outlineLevel="0" collapsed="false">
      <c r="A17" s="4" t="s">
        <v>49</v>
      </c>
      <c r="B17" s="5" t="n">
        <v>40086</v>
      </c>
      <c r="C17" s="6" t="n">
        <v>83.196</v>
      </c>
      <c r="D17" s="10" t="n">
        <f aca="false">C17/C13-1</f>
        <v>0.464383151743439</v>
      </c>
      <c r="E17" s="6" t="n">
        <v>55.104</v>
      </c>
      <c r="F17" s="7" t="n">
        <f aca="false">G17-E17</f>
        <v>15.806</v>
      </c>
      <c r="G17" s="6" t="n">
        <v>70.91</v>
      </c>
      <c r="H17" s="7" t="n">
        <f aca="false">C17-G17</f>
        <v>12.286</v>
      </c>
      <c r="I17" s="6" t="n">
        <v>2.633</v>
      </c>
      <c r="J17" s="9" t="n">
        <v>0.14</v>
      </c>
      <c r="K17" s="9" t="n">
        <v>0.29</v>
      </c>
      <c r="L17" s="10" t="n">
        <f aca="false">E17/C17</f>
        <v>0.662339535554594</v>
      </c>
      <c r="M17" s="10" t="n">
        <f aca="false">H17/C17</f>
        <v>0.147675369008125</v>
      </c>
      <c r="N17" s="11" t="n">
        <f aca="false">IF(ISNUMBER(I17),I17/C17,"n/m")</f>
        <v>0.0316481561613539</v>
      </c>
      <c r="O17" s="7" t="n">
        <f aca="false">SUM(C14:C17)</f>
        <v>237.201</v>
      </c>
      <c r="P17" s="10" t="n">
        <f aca="false">SUM(H14:H17)/O17</f>
        <v>-0.0662602602855806</v>
      </c>
      <c r="Q17" s="12" t="n">
        <f aca="false">SUM(J14:J17)</f>
        <v>-0.67</v>
      </c>
      <c r="R17" s="12" t="n">
        <f aca="false">SUM(K14:K17)</f>
        <v>0.19</v>
      </c>
      <c r="S17" s="9" t="n">
        <v>29.22</v>
      </c>
      <c r="T17" s="13" t="str">
        <f aca="false">IF(Q17&gt;0,S17/Q17,"n/m")</f>
        <v>n/m</v>
      </c>
      <c r="U17" s="13" t="n">
        <f aca="false">IF(R17&gt;0,S17/R17,"n/m")</f>
        <v>153.789473684211</v>
      </c>
      <c r="V17" s="2" t="s">
        <v>50</v>
      </c>
    </row>
    <row r="18" customFormat="false" ht="15" hidden="false" customHeight="false" outlineLevel="0" collapsed="false">
      <c r="A18" s="4" t="s">
        <v>51</v>
      </c>
      <c r="B18" s="5" t="n">
        <v>40178</v>
      </c>
      <c r="C18" s="6" t="n">
        <v>109.174</v>
      </c>
      <c r="D18" s="10" t="n">
        <f aca="false">C18/C14-1</f>
        <v>2.28481165001805</v>
      </c>
      <c r="E18" s="6" t="n">
        <v>68.001</v>
      </c>
      <c r="F18" s="7" t="n">
        <f aca="false">G18-E18</f>
        <v>22.199</v>
      </c>
      <c r="G18" s="6" t="n">
        <v>90.2</v>
      </c>
      <c r="H18" s="7" t="n">
        <f aca="false">C18-G18</f>
        <v>18.974</v>
      </c>
      <c r="I18" s="6" t="n">
        <v>1.649</v>
      </c>
      <c r="J18" s="9" t="n">
        <v>0.07</v>
      </c>
      <c r="K18" s="9" t="n">
        <v>0.41</v>
      </c>
      <c r="L18" s="10" t="n">
        <f aca="false">E18/C18</f>
        <v>0.6228680821441</v>
      </c>
      <c r="M18" s="10" t="n">
        <f aca="false">H18/C18</f>
        <v>0.173795958744756</v>
      </c>
      <c r="N18" s="11" t="n">
        <f aca="false">IF(ISNUMBER(I18),I18/C18,"n/m")</f>
        <v>0.0151043288695111</v>
      </c>
      <c r="O18" s="7" t="n">
        <f aca="false">SUM(C15:C18)</f>
        <v>313.139</v>
      </c>
      <c r="P18" s="10" t="n">
        <f aca="false">SUM(H15:H18)/O18</f>
        <v>0.0631604495128362</v>
      </c>
      <c r="Q18" s="12" t="n">
        <f aca="false">SUM(J15:J18)</f>
        <v>-0.21</v>
      </c>
      <c r="R18" s="12" t="n">
        <f aca="false">SUM(K15:K18)</f>
        <v>0.85</v>
      </c>
      <c r="S18" s="9" t="n">
        <v>30.4</v>
      </c>
      <c r="T18" s="13" t="str">
        <f aca="false">IF(Q18&gt;0,S18/Q18,"n/m")</f>
        <v>n/m</v>
      </c>
      <c r="U18" s="13" t="n">
        <f aca="false">IF(R18&gt;0,S18/R18,"n/m")</f>
        <v>35.7647058823529</v>
      </c>
      <c r="V18" s="2" t="s">
        <v>52</v>
      </c>
    </row>
    <row r="19" customFormat="false" ht="15" hidden="false" customHeight="false" outlineLevel="0" collapsed="false">
      <c r="A19" s="4" t="s">
        <v>53</v>
      </c>
      <c r="B19" s="5" t="n">
        <v>40268</v>
      </c>
      <c r="C19" s="6" t="n">
        <v>87.109</v>
      </c>
      <c r="D19" s="10" t="n">
        <f aca="false">C19/C15-1</f>
        <v>0.751779753046696</v>
      </c>
      <c r="E19" s="6" t="n">
        <v>55.721</v>
      </c>
      <c r="F19" s="7" t="n">
        <f aca="false">G19-E19</f>
        <v>19.998</v>
      </c>
      <c r="G19" s="6" t="n">
        <v>75.719</v>
      </c>
      <c r="H19" s="7" t="n">
        <f aca="false">C19-G19</f>
        <v>11.39</v>
      </c>
      <c r="I19" s="6" t="n">
        <v>2.02</v>
      </c>
      <c r="J19" s="9" t="n">
        <v>0.09</v>
      </c>
      <c r="K19" s="9" t="n">
        <v>0.26</v>
      </c>
      <c r="L19" s="10" t="n">
        <f aca="false">E19/C19</f>
        <v>0.639669838937423</v>
      </c>
      <c r="M19" s="10" t="n">
        <f aca="false">H19/C19</f>
        <v>0.130755719845251</v>
      </c>
      <c r="N19" s="11" t="n">
        <f aca="false">IF(ISNUMBER(I19),I19/C19,"n/m")</f>
        <v>0.0231893374966995</v>
      </c>
      <c r="O19" s="7" t="n">
        <f aca="false">SUM(C16:C19)</f>
        <v>350.522</v>
      </c>
      <c r="P19" s="10" t="n">
        <f aca="false">SUM(H16:H19)/O19</f>
        <v>0.0847678605051894</v>
      </c>
      <c r="Q19" s="12" t="n">
        <f aca="false">SUM(J16:J19)</f>
        <v>-0.13</v>
      </c>
      <c r="R19" s="12" t="n">
        <f aca="false">SUM(K16:K19)</f>
        <v>1.06</v>
      </c>
      <c r="S19" s="9" t="n">
        <v>30</v>
      </c>
      <c r="T19" s="13" t="str">
        <f aca="false">IF(Q19&gt;0,S19/Q19,"n/m")</f>
        <v>n/m</v>
      </c>
      <c r="U19" s="13" t="n">
        <f aca="false">IF(R19&gt;0,S19/R19,"n/m")</f>
        <v>28.3018867924528</v>
      </c>
      <c r="V19" s="2" t="s">
        <v>54</v>
      </c>
    </row>
    <row r="20" customFormat="false" ht="15" hidden="false" customHeight="false" outlineLevel="0" collapsed="false">
      <c r="A20" s="4" t="s">
        <v>55</v>
      </c>
      <c r="B20" s="5" t="n">
        <v>40359</v>
      </c>
      <c r="C20" s="6" t="n">
        <v>64.319</v>
      </c>
      <c r="D20" s="10" t="n">
        <f aca="false">C20/C16-1</f>
        <v>-0.0946469039877258</v>
      </c>
      <c r="E20" s="6" t="n">
        <v>45.762</v>
      </c>
      <c r="F20" s="7" t="n">
        <f aca="false">G20-E20</f>
        <v>21.185</v>
      </c>
      <c r="G20" s="6" t="n">
        <v>66.947</v>
      </c>
      <c r="H20" s="7" t="n">
        <f aca="false">C20-G20</f>
        <v>-2.628</v>
      </c>
      <c r="I20" s="6" t="n">
        <v>0.117</v>
      </c>
      <c r="J20" s="9" t="n">
        <v>0</v>
      </c>
      <c r="K20" s="9" t="n">
        <v>0.05</v>
      </c>
      <c r="L20" s="10" t="n">
        <f aca="false">E20/C20</f>
        <v>0.711484942241017</v>
      </c>
      <c r="M20" s="10" t="n">
        <f aca="false">H20/C20</f>
        <v>-0.0408588441984484</v>
      </c>
      <c r="N20" s="11" t="n">
        <f aca="false">IF(ISNUMBER(I20),I20/C20,"n/m")</f>
        <v>0.0018190581321227</v>
      </c>
      <c r="O20" s="7" t="n">
        <f aca="false">SUM(C17:C20)</f>
        <v>343.798</v>
      </c>
      <c r="P20" s="10" t="n">
        <f aca="false">SUM(H17:H20)/O20</f>
        <v>0.116411381101693</v>
      </c>
      <c r="Q20" s="12" t="n">
        <f aca="false">SUM(J17:J20)</f>
        <v>0.3</v>
      </c>
      <c r="R20" s="12" t="n">
        <f aca="false">SUM(K17:K20)</f>
        <v>1.01</v>
      </c>
      <c r="S20" s="9" t="n">
        <v>23.35</v>
      </c>
      <c r="T20" s="13" t="n">
        <f aca="false">IF(Q20&gt;0,S20/Q20,"n/m")</f>
        <v>77.8333333333333</v>
      </c>
      <c r="U20" s="13" t="n">
        <f aca="false">IF(R20&gt;0,S20/R20,"n/m")</f>
        <v>23.1188118811881</v>
      </c>
      <c r="V20" s="2" t="s">
        <v>56</v>
      </c>
    </row>
    <row r="21" customFormat="false" ht="15" hidden="false" customHeight="false" outlineLevel="0" collapsed="false">
      <c r="A21" s="4" t="s">
        <v>57</v>
      </c>
      <c r="B21" s="5" t="n">
        <v>40451</v>
      </c>
      <c r="C21" s="6" t="n">
        <v>123.025</v>
      </c>
      <c r="D21" s="10" t="n">
        <f aca="false">C21/C17-1</f>
        <v>0.478736958507621</v>
      </c>
      <c r="E21" s="6" t="n">
        <v>82.267</v>
      </c>
      <c r="F21" s="7" t="n">
        <f aca="false">G21-E21</f>
        <v>22.318</v>
      </c>
      <c r="G21" s="6" t="n">
        <v>104.585</v>
      </c>
      <c r="H21" s="7" t="n">
        <f aca="false">C21-G21</f>
        <v>18.44</v>
      </c>
      <c r="I21" s="6" t="n">
        <v>3.53</v>
      </c>
      <c r="J21" s="9" t="n">
        <v>0.17</v>
      </c>
      <c r="K21" s="9" t="n">
        <v>0.38</v>
      </c>
      <c r="L21" s="10" t="n">
        <f aca="false">E21/C21</f>
        <v>0.668701483438326</v>
      </c>
      <c r="M21" s="10" t="n">
        <f aca="false">H21/C21</f>
        <v>0.149888234098761</v>
      </c>
      <c r="N21" s="11" t="n">
        <f aca="false">IF(ISNUMBER(I21),I21/C21,"n/m")</f>
        <v>0.0286933550091445</v>
      </c>
      <c r="O21" s="7" t="n">
        <f aca="false">SUM(C18:C21)</f>
        <v>383.627</v>
      </c>
      <c r="P21" s="10" t="n">
        <f aca="false">SUM(H18:H21)/O21</f>
        <v>0.12036691890821</v>
      </c>
      <c r="Q21" s="12" t="n">
        <f aca="false">SUM(J18:J21)</f>
        <v>0.33</v>
      </c>
      <c r="R21" s="12" t="n">
        <f aca="false">SUM(K18:K21)</f>
        <v>1.1</v>
      </c>
      <c r="S21" s="9" t="n">
        <v>28.61</v>
      </c>
      <c r="T21" s="13" t="n">
        <f aca="false">IF(Q21&gt;0,S21/Q21,"n/m")</f>
        <v>86.6969696969697</v>
      </c>
      <c r="U21" s="13" t="n">
        <f aca="false">IF(R21&gt;0,S21/R21,"n/m")</f>
        <v>26.0090909090909</v>
      </c>
      <c r="V21" s="2" t="s">
        <v>56</v>
      </c>
    </row>
    <row r="22" customFormat="false" ht="15" hidden="false" customHeight="false" outlineLevel="0" collapsed="false">
      <c r="A22" s="4" t="s">
        <v>58</v>
      </c>
      <c r="B22" s="5" t="n">
        <v>40543</v>
      </c>
      <c r="C22" s="6" t="n">
        <v>101.452</v>
      </c>
      <c r="D22" s="10" t="n">
        <f aca="false">C22/C18-1</f>
        <v>-0.0707311264586807</v>
      </c>
      <c r="E22" s="6" t="n">
        <v>63.987</v>
      </c>
      <c r="F22" s="7" t="n">
        <f aca="false">G22-E22</f>
        <v>27.807</v>
      </c>
      <c r="G22" s="6" t="n">
        <v>91.794</v>
      </c>
      <c r="H22" s="7" t="n">
        <f aca="false">C22-G22</f>
        <v>9.658</v>
      </c>
      <c r="I22" s="6" t="n">
        <v>3.287</v>
      </c>
      <c r="J22" s="9" t="n">
        <v>0.13</v>
      </c>
      <c r="K22" s="9" t="n">
        <v>0.27</v>
      </c>
      <c r="L22" s="10" t="n">
        <f aca="false">E22/C22</f>
        <v>0.630712060876079</v>
      </c>
      <c r="M22" s="10" t="n">
        <f aca="false">H22/C22</f>
        <v>0.095197728975279</v>
      </c>
      <c r="N22" s="11" t="n">
        <f aca="false">IF(ISNUMBER(I22),I22/C22,"n/m")</f>
        <v>0.0323995584118598</v>
      </c>
      <c r="O22" s="7" t="n">
        <f aca="false">SUM(C19:C22)</f>
        <v>375.905</v>
      </c>
      <c r="P22" s="10" t="n">
        <f aca="false">SUM(H19:H22)/O22</f>
        <v>0.0980566898551496</v>
      </c>
      <c r="Q22" s="12" t="n">
        <f aca="false">SUM(J19:J22)</f>
        <v>0.39</v>
      </c>
      <c r="R22" s="12" t="n">
        <f aca="false">SUM(K19:K22)</f>
        <v>0.96</v>
      </c>
      <c r="S22" s="9" t="n">
        <v>34</v>
      </c>
      <c r="T22" s="13" t="n">
        <f aca="false">IF(Q22&gt;0,S22/Q22,"n/m")</f>
        <v>87.1794871794872</v>
      </c>
      <c r="U22" s="13" t="n">
        <f aca="false">IF(R22&gt;0,S22/R22,"n/m")</f>
        <v>35.4166666666667</v>
      </c>
      <c r="V22" s="2" t="s">
        <v>59</v>
      </c>
    </row>
    <row r="23" customFormat="false" ht="15" hidden="false" customHeight="false" outlineLevel="0" collapsed="false">
      <c r="A23" s="4" t="s">
        <v>60</v>
      </c>
      <c r="B23" s="5" t="n">
        <v>40633</v>
      </c>
      <c r="C23" s="6" t="n">
        <v>107.098</v>
      </c>
      <c r="D23" s="10" t="n">
        <f aca="false">C23/C19-1</f>
        <v>0.229471122386895</v>
      </c>
      <c r="E23" s="6" t="n">
        <v>69.097</v>
      </c>
      <c r="F23" s="7" t="n">
        <f aca="false">G23-E23</f>
        <v>26.237</v>
      </c>
      <c r="G23" s="6" t="n">
        <v>95.334</v>
      </c>
      <c r="H23" s="7" t="n">
        <f aca="false">C23-G23</f>
        <v>11.764</v>
      </c>
      <c r="I23" s="6" t="n">
        <v>3.588</v>
      </c>
      <c r="J23" s="9" t="n">
        <v>0.14</v>
      </c>
      <c r="K23" s="9" t="n">
        <v>0.28</v>
      </c>
      <c r="L23" s="10" t="n">
        <f aca="false">E23/C23</f>
        <v>0.645175446787055</v>
      </c>
      <c r="M23" s="10" t="n">
        <f aca="false">H23/C23</f>
        <v>0.109843321070421</v>
      </c>
      <c r="N23" s="11" t="n">
        <f aca="false">IF(ISNUMBER(I23),I23/C23,"n/m")</f>
        <v>0.033502026181628</v>
      </c>
      <c r="O23" s="7" t="n">
        <f aca="false">SUM(C20:C23)</f>
        <v>395.894</v>
      </c>
      <c r="P23" s="10" t="n">
        <f aca="false">SUM(H20:H23)/O23</f>
        <v>0.0940504276397218</v>
      </c>
      <c r="Q23" s="12" t="n">
        <f aca="false">SUM(J20:J23)</f>
        <v>0.44</v>
      </c>
      <c r="R23" s="12" t="n">
        <f aca="false">SUM(K20:K23)</f>
        <v>0.98</v>
      </c>
      <c r="S23" s="9" t="n">
        <v>34.29</v>
      </c>
      <c r="T23" s="13" t="n">
        <f aca="false">IF(Q23&gt;0,S23/Q23,"n/m")</f>
        <v>77.9318181818182</v>
      </c>
      <c r="U23" s="13" t="n">
        <f aca="false">IF(R23&gt;0,S23/R23,"n/m")</f>
        <v>34.9897959183673</v>
      </c>
      <c r="V23" s="2" t="s">
        <v>56</v>
      </c>
    </row>
    <row r="24" customFormat="false" ht="15" hidden="false" customHeight="false" outlineLevel="0" collapsed="false">
      <c r="A24" s="4" t="s">
        <v>61</v>
      </c>
      <c r="B24" s="5" t="n">
        <v>40724</v>
      </c>
      <c r="C24" s="6" t="n">
        <v>141.204</v>
      </c>
      <c r="D24" s="10" t="n">
        <f aca="false">C24/C20-1</f>
        <v>1.19536995289106</v>
      </c>
      <c r="E24" s="6" t="n">
        <v>100.069</v>
      </c>
      <c r="F24" s="7" t="n">
        <f aca="false">G24-E24</f>
        <v>29.52</v>
      </c>
      <c r="G24" s="6" t="n">
        <v>129.589</v>
      </c>
      <c r="H24" s="7" t="n">
        <f aca="false">C24-G24</f>
        <v>11.615</v>
      </c>
      <c r="I24" s="6" t="n">
        <v>2.261</v>
      </c>
      <c r="J24" s="9" t="n">
        <v>0.08</v>
      </c>
      <c r="K24" s="9" t="n">
        <v>0.43</v>
      </c>
      <c r="L24" s="10" t="n">
        <f aca="false">E24/C24</f>
        <v>0.708683889974788</v>
      </c>
      <c r="M24" s="10" t="n">
        <f aca="false">H24/C24</f>
        <v>0.0822568765757345</v>
      </c>
      <c r="N24" s="11" t="n">
        <f aca="false">IF(ISNUMBER(I24),I24/C24,"n/m")</f>
        <v>0.0160122942692842</v>
      </c>
      <c r="O24" s="7" t="n">
        <f aca="false">SUM(C21:C24)</f>
        <v>472.779</v>
      </c>
      <c r="P24" s="10" t="n">
        <f aca="false">SUM(H21:H24)/O24</f>
        <v>0.108881739671178</v>
      </c>
      <c r="Q24" s="12" t="n">
        <f aca="false">SUM(J21:J24)</f>
        <v>0.52</v>
      </c>
      <c r="R24" s="12" t="n">
        <f aca="false">SUM(K21:K24)</f>
        <v>1.36</v>
      </c>
      <c r="S24" s="9" t="n">
        <v>33.32</v>
      </c>
      <c r="T24" s="13" t="n">
        <f aca="false">IF(Q24&gt;0,S24/Q24,"n/m")</f>
        <v>64.0769230769231</v>
      </c>
      <c r="U24" s="13" t="n">
        <f aca="false">IF(R24&gt;0,S24/R24,"n/m")</f>
        <v>24.5</v>
      </c>
      <c r="V24" s="2" t="s">
        <v>56</v>
      </c>
    </row>
    <row r="25" customFormat="false" ht="15" hidden="false" customHeight="false" outlineLevel="0" collapsed="false">
      <c r="A25" s="4" t="s">
        <v>62</v>
      </c>
      <c r="B25" s="5" t="n">
        <v>40816</v>
      </c>
      <c r="C25" s="6" t="n">
        <v>163.181</v>
      </c>
      <c r="D25" s="10" t="n">
        <f aca="false">C25/C21-1</f>
        <v>0.326405202194676</v>
      </c>
      <c r="E25" s="6" t="n">
        <v>113.634</v>
      </c>
      <c r="F25" s="7" t="n">
        <f aca="false">G25-E25</f>
        <v>36.105</v>
      </c>
      <c r="G25" s="6" t="n">
        <v>149.739</v>
      </c>
      <c r="H25" s="7" t="n">
        <f aca="false">C25-G25</f>
        <v>13.442</v>
      </c>
      <c r="I25" s="6" t="n">
        <v>1.759</v>
      </c>
      <c r="J25" s="9" t="n">
        <v>0.06</v>
      </c>
      <c r="K25" s="9" t="n">
        <v>0.46</v>
      </c>
      <c r="L25" s="10" t="n">
        <f aca="false">E25/C25</f>
        <v>0.696367836941801</v>
      </c>
      <c r="M25" s="10" t="n">
        <f aca="false">H25/C25</f>
        <v>0.0823747862802655</v>
      </c>
      <c r="N25" s="11" t="n">
        <f aca="false">IF(ISNUMBER(I25),I25/C25,"n/m")</f>
        <v>0.0107794412339672</v>
      </c>
      <c r="O25" s="7" t="n">
        <f aca="false">SUM(C22:C25)</f>
        <v>512.935</v>
      </c>
      <c r="P25" s="10" t="n">
        <f aca="false">SUM(H22:H25)/O25</f>
        <v>0.0906138204645813</v>
      </c>
      <c r="Q25" s="12" t="n">
        <f aca="false">SUM(J22:J25)</f>
        <v>0.41</v>
      </c>
      <c r="R25" s="12" t="n">
        <f aca="false">SUM(K22:K25)</f>
        <v>1.44</v>
      </c>
      <c r="S25" s="9" t="n">
        <v>22.8</v>
      </c>
      <c r="T25" s="13" t="n">
        <f aca="false">IF(Q25&gt;0,S25/Q25,"n/m")</f>
        <v>55.609756097561</v>
      </c>
      <c r="U25" s="13" t="n">
        <f aca="false">IF(R25&gt;0,S25/R25,"n/m")</f>
        <v>15.8333333333333</v>
      </c>
      <c r="V25" s="2" t="s">
        <v>56</v>
      </c>
    </row>
    <row r="26" customFormat="false" ht="15" hidden="false" customHeight="false" outlineLevel="0" collapsed="false">
      <c r="A26" s="4" t="s">
        <v>63</v>
      </c>
      <c r="B26" s="5" t="n">
        <v>40908</v>
      </c>
      <c r="C26" s="6" t="n">
        <v>112.781</v>
      </c>
      <c r="D26" s="10" t="n">
        <f aca="false">C26/C22-1</f>
        <v>0.111668572329772</v>
      </c>
      <c r="E26" s="6" t="n">
        <v>74.88</v>
      </c>
      <c r="F26" s="7" t="n">
        <f aca="false">G26-E26</f>
        <v>38.91</v>
      </c>
      <c r="G26" s="6" t="n">
        <v>113.79</v>
      </c>
      <c r="H26" s="7" t="n">
        <f aca="false">C26-G26</f>
        <v>-1.009</v>
      </c>
      <c r="I26" s="6" t="n">
        <v>-0.656</v>
      </c>
      <c r="J26" s="9" t="n">
        <v>-0.02</v>
      </c>
      <c r="K26" s="9" t="n">
        <v>0.32</v>
      </c>
      <c r="L26" s="10" t="n">
        <f aca="false">E26/C26</f>
        <v>0.663941621372394</v>
      </c>
      <c r="M26" s="10" t="n">
        <f aca="false">H26/C26</f>
        <v>-0.00894654241405911</v>
      </c>
      <c r="N26" s="11" t="n">
        <f aca="false">IF(ISNUMBER(I26),I26/C26,"n/m")</f>
        <v>-0.00581658258039918</v>
      </c>
      <c r="O26" s="7" t="n">
        <f aca="false">SUM(C23:C26)</f>
        <v>524.264</v>
      </c>
      <c r="P26" s="10" t="n">
        <f aca="false">SUM(H23:H26)/O26</f>
        <v>0.0683090961805503</v>
      </c>
      <c r="Q26" s="12" t="n">
        <f aca="false">SUM(J23:J26)</f>
        <v>0.26</v>
      </c>
      <c r="R26" s="12" t="n">
        <f aca="false">SUM(K23:K26)</f>
        <v>1.49</v>
      </c>
      <c r="S26" s="9" t="n">
        <v>26.62</v>
      </c>
      <c r="T26" s="13" t="n">
        <f aca="false">IF(Q26&gt;0,S26/Q26,"n/m")</f>
        <v>102.384615384615</v>
      </c>
      <c r="U26" s="13" t="n">
        <f aca="false">IF(R26&gt;0,S26/R26,"n/m")</f>
        <v>17.8657718120805</v>
      </c>
      <c r="V26" s="2" t="s">
        <v>59</v>
      </c>
    </row>
    <row r="27" customFormat="false" ht="15" hidden="false" customHeight="false" outlineLevel="0" collapsed="false">
      <c r="A27" s="4" t="s">
        <v>64</v>
      </c>
      <c r="B27" s="5" t="n">
        <v>40999</v>
      </c>
      <c r="C27" s="6" t="n">
        <v>102.798</v>
      </c>
      <c r="D27" s="10" t="n">
        <f aca="false">C27/C23-1</f>
        <v>-0.0401501428598107</v>
      </c>
      <c r="E27" s="6" t="n">
        <v>80.727</v>
      </c>
      <c r="F27" s="7" t="n">
        <f aca="false">G27-E27</f>
        <v>34.214</v>
      </c>
      <c r="G27" s="6" t="n">
        <v>114.941</v>
      </c>
      <c r="H27" s="7" t="n">
        <f aca="false">C27-G27</f>
        <v>-12.143</v>
      </c>
      <c r="I27" s="6" t="n">
        <v>-3.368</v>
      </c>
      <c r="J27" s="9" t="n">
        <v>-0.12</v>
      </c>
      <c r="K27" s="9" t="n">
        <v>0.1</v>
      </c>
      <c r="L27" s="10" t="n">
        <f aca="false">E27/C27</f>
        <v>0.785297379326446</v>
      </c>
      <c r="M27" s="10" t="n">
        <f aca="false">H27/C27</f>
        <v>-0.118124866242534</v>
      </c>
      <c r="N27" s="11" t="n">
        <f aca="false">IF(ISNUMBER(I27),I27/C27,"n/m")</f>
        <v>-0.0327632833323606</v>
      </c>
      <c r="O27" s="7" t="n">
        <f aca="false">SUM(C24:C27)</f>
        <v>519.964</v>
      </c>
      <c r="P27" s="10" t="n">
        <f aca="false">SUM(H24:H27)/O27</f>
        <v>0.0228958158641752</v>
      </c>
      <c r="Q27" s="12" t="n">
        <f aca="false">SUM(J24:J27)</f>
        <v>0</v>
      </c>
      <c r="R27" s="12" t="n">
        <f aca="false">SUM(K24:K27)</f>
        <v>1.31</v>
      </c>
      <c r="S27" s="9" t="n">
        <v>29.07</v>
      </c>
      <c r="T27" s="13" t="str">
        <f aca="false">IF(Q27&gt;0,S27/Q27,"n/m")</f>
        <v>n/m</v>
      </c>
      <c r="U27" s="13" t="n">
        <f aca="false">IF(R27&gt;0,S27/R27,"n/m")</f>
        <v>22.1908396946565</v>
      </c>
      <c r="V27" s="2" t="s">
        <v>56</v>
      </c>
    </row>
    <row r="28" customFormat="false" ht="15" hidden="false" customHeight="false" outlineLevel="0" collapsed="false">
      <c r="A28" s="4" t="s">
        <v>65</v>
      </c>
      <c r="B28" s="5" t="n">
        <v>41090</v>
      </c>
      <c r="C28" s="6" t="n">
        <v>172.497</v>
      </c>
      <c r="D28" s="10" t="n">
        <f aca="false">C28/C24-1</f>
        <v>0.221615534970681</v>
      </c>
      <c r="E28" s="6" t="n">
        <v>114.29</v>
      </c>
      <c r="F28" s="7" t="n">
        <f aca="false">G28-E28</f>
        <v>37.012</v>
      </c>
      <c r="G28" s="6" t="n">
        <v>151.302</v>
      </c>
      <c r="H28" s="7" t="n">
        <f aca="false">C28-G28</f>
        <v>21.195</v>
      </c>
      <c r="I28" s="6" t="n">
        <v>7.934</v>
      </c>
      <c r="J28" s="9" t="n">
        <v>0.25</v>
      </c>
      <c r="K28" s="9" t="n">
        <v>0.49</v>
      </c>
      <c r="L28" s="10" t="n">
        <f aca="false">E28/C28</f>
        <v>0.662562247459376</v>
      </c>
      <c r="M28" s="10" t="n">
        <f aca="false">H28/C28</f>
        <v>0.122871702116559</v>
      </c>
      <c r="N28" s="11" t="n">
        <f aca="false">IF(ISNUMBER(I28),I28/C28,"n/m")</f>
        <v>0.0459950028116431</v>
      </c>
      <c r="O28" s="7" t="n">
        <f aca="false">SUM(C25:C28)</f>
        <v>551.257</v>
      </c>
      <c r="P28" s="10" t="n">
        <f aca="false">SUM(H25:H28)/O28</f>
        <v>0.0389745617742723</v>
      </c>
      <c r="Q28" s="12" t="n">
        <f aca="false">SUM(J25:J28)</f>
        <v>0.17</v>
      </c>
      <c r="R28" s="12" t="n">
        <f aca="false">SUM(K25:K28)</f>
        <v>1.37</v>
      </c>
      <c r="S28" s="9" t="n">
        <v>23.39</v>
      </c>
      <c r="T28" s="13" t="n">
        <f aca="false">IF(Q28&gt;0,S28/Q28,"n/m")</f>
        <v>137.588235294118</v>
      </c>
      <c r="U28" s="13" t="n">
        <f aca="false">IF(R28&gt;0,S28/R28,"n/m")</f>
        <v>17.0729927007299</v>
      </c>
      <c r="V28" s="2" t="s">
        <v>56</v>
      </c>
    </row>
    <row r="29" customFormat="false" ht="15" hidden="false" customHeight="false" outlineLevel="0" collapsed="false">
      <c r="A29" s="4" t="s">
        <v>66</v>
      </c>
      <c r="B29" s="5" t="n">
        <v>41182</v>
      </c>
      <c r="C29" s="6" t="n">
        <v>153.029</v>
      </c>
      <c r="D29" s="10" t="n">
        <f aca="false">C29/C25-1</f>
        <v>-0.0622131253025782</v>
      </c>
      <c r="E29" s="6" t="n">
        <v>101.364</v>
      </c>
      <c r="F29" s="7" t="n">
        <f aca="false">G29-E29</f>
        <v>37.42</v>
      </c>
      <c r="G29" s="6" t="n">
        <v>138.784</v>
      </c>
      <c r="H29" s="7" t="n">
        <f aca="false">C29-G29</f>
        <v>14.245</v>
      </c>
      <c r="I29" s="6" t="n">
        <v>5.301</v>
      </c>
      <c r="J29" s="9" t="n">
        <v>0.17</v>
      </c>
      <c r="K29" s="9" t="n">
        <v>0.4</v>
      </c>
      <c r="L29" s="10" t="n">
        <f aca="false">E29/C29</f>
        <v>0.662384253964935</v>
      </c>
      <c r="M29" s="10" t="n">
        <f aca="false">H29/C29</f>
        <v>0.0930869312352561</v>
      </c>
      <c r="N29" s="11" t="n">
        <f aca="false">IF(ISNUMBER(I29),I29/C29,"n/m")</f>
        <v>0.0346404929784551</v>
      </c>
      <c r="O29" s="7" t="n">
        <f aca="false">SUM(C26:C29)</f>
        <v>541.105</v>
      </c>
      <c r="P29" s="10" t="n">
        <f aca="false">SUM(H26:H29)/O29</f>
        <v>0.041189787564336</v>
      </c>
      <c r="Q29" s="12" t="n">
        <f aca="false">SUM(J26:J29)</f>
        <v>0.28</v>
      </c>
      <c r="R29" s="12" t="n">
        <f aca="false">SUM(K26:K29)</f>
        <v>1.31</v>
      </c>
      <c r="S29" s="9" t="n">
        <v>27</v>
      </c>
      <c r="T29" s="13" t="n">
        <f aca="false">IF(Q29&gt;0,S29/Q29,"n/m")</f>
        <v>96.4285714285714</v>
      </c>
      <c r="U29" s="13" t="n">
        <f aca="false">IF(R29&gt;0,S29/R29,"n/m")</f>
        <v>20.6106870229008</v>
      </c>
      <c r="V29" s="2" t="s">
        <v>56</v>
      </c>
    </row>
    <row r="30" customFormat="false" ht="15" hidden="false" customHeight="false" outlineLevel="0" collapsed="false">
      <c r="A30" s="4" t="s">
        <v>67</v>
      </c>
      <c r="B30" s="5" t="n">
        <v>41274</v>
      </c>
      <c r="C30" s="6" t="n">
        <v>214.049</v>
      </c>
      <c r="D30" s="10" t="n">
        <f aca="false">C30/C26-1</f>
        <v>0.897917202365647</v>
      </c>
      <c r="E30" s="6" t="n">
        <v>134.034</v>
      </c>
      <c r="F30" s="7" t="n">
        <f aca="false">G30-E30</f>
        <v>37.777</v>
      </c>
      <c r="G30" s="6" t="n">
        <v>171.811</v>
      </c>
      <c r="H30" s="7" t="n">
        <f aca="false">C30-G30</f>
        <v>42.238</v>
      </c>
      <c r="I30" s="6" t="n">
        <v>19.022</v>
      </c>
      <c r="J30" s="9" t="n">
        <v>0.56</v>
      </c>
      <c r="K30" s="9" t="n">
        <v>0.81</v>
      </c>
      <c r="L30" s="10" t="n">
        <f aca="false">E30/C30</f>
        <v>0.626183724287429</v>
      </c>
      <c r="M30" s="10" t="n">
        <f aca="false">H30/C30</f>
        <v>0.197328649047648</v>
      </c>
      <c r="N30" s="11" t="n">
        <f aca="false">IF(ISNUMBER(I30),I30/C30,"n/m")</f>
        <v>0.088867502300875</v>
      </c>
      <c r="O30" s="7" t="n">
        <f aca="false">SUM(C27:C30)</f>
        <v>642.373</v>
      </c>
      <c r="P30" s="10" t="n">
        <f aca="false">SUM(H27:H30)/O30</f>
        <v>0.102020165853795</v>
      </c>
      <c r="Q30" s="12" t="n">
        <f aca="false">SUM(J27:J30)</f>
        <v>0.86</v>
      </c>
      <c r="R30" s="12" t="n">
        <f aca="false">SUM(K27:K30)</f>
        <v>1.8</v>
      </c>
      <c r="S30" s="9" t="n">
        <v>30.19</v>
      </c>
      <c r="T30" s="13" t="n">
        <f aca="false">IF(Q30&gt;0,S30/Q30,"n/m")</f>
        <v>35.1046511627907</v>
      </c>
      <c r="U30" s="13" t="n">
        <f aca="false">IF(R30&gt;0,S30/R30,"n/m")</f>
        <v>16.7722222222222</v>
      </c>
      <c r="V30" s="2" t="s">
        <v>59</v>
      </c>
    </row>
    <row r="31" customFormat="false" ht="15" hidden="false" customHeight="false" outlineLevel="0" collapsed="false">
      <c r="A31" s="4" t="s">
        <v>68</v>
      </c>
      <c r="B31" s="5" t="n">
        <v>41364</v>
      </c>
      <c r="C31" s="6" t="n">
        <v>152.631</v>
      </c>
      <c r="D31" s="10" t="n">
        <f aca="false">C31/C27-1</f>
        <v>0.484766240588338</v>
      </c>
      <c r="E31" s="6" t="n">
        <v>102.009</v>
      </c>
      <c r="F31" s="7" t="n">
        <f aca="false">G31-E31</f>
        <v>34.372</v>
      </c>
      <c r="G31" s="6" t="n">
        <v>136.381</v>
      </c>
      <c r="H31" s="7" t="n">
        <f aca="false">C31-G31</f>
        <v>16.25</v>
      </c>
      <c r="I31" s="6" t="n">
        <v>5.969</v>
      </c>
      <c r="J31" s="9" t="n">
        <v>0.16</v>
      </c>
      <c r="K31" s="9" t="n">
        <v>0.37</v>
      </c>
      <c r="L31" s="10" t="n">
        <f aca="false">E31/C31</f>
        <v>0.668337362658962</v>
      </c>
      <c r="M31" s="10" t="n">
        <f aca="false">H31/C31</f>
        <v>0.106465921077632</v>
      </c>
      <c r="N31" s="11" t="n">
        <f aca="false">IF(ISNUMBER(I31),I31/C31,"n/m")</f>
        <v>0.0391073897176851</v>
      </c>
      <c r="O31" s="7" t="n">
        <f aca="false">SUM(C28:C31)</f>
        <v>692.206</v>
      </c>
      <c r="P31" s="10" t="n">
        <f aca="false">SUM(H28:H31)/O31</f>
        <v>0.135693709676021</v>
      </c>
      <c r="Q31" s="12" t="n">
        <f aca="false">SUM(J28:J31)</f>
        <v>1.14</v>
      </c>
      <c r="R31" s="12" t="n">
        <f aca="false">SUM(K28:K31)</f>
        <v>2.07</v>
      </c>
      <c r="S31" s="9" t="n">
        <v>41.6</v>
      </c>
      <c r="T31" s="13" t="n">
        <f aca="false">IF(Q31&gt;0,S31/Q31,"n/m")</f>
        <v>36.4912280701754</v>
      </c>
      <c r="U31" s="13" t="n">
        <f aca="false">IF(R31&gt;0,S31/R31,"n/m")</f>
        <v>20.0966183574879</v>
      </c>
      <c r="V31" s="2" t="s">
        <v>56</v>
      </c>
    </row>
    <row r="32" customFormat="false" ht="15" hidden="false" customHeight="false" outlineLevel="0" collapsed="false">
      <c r="A32" s="4" t="s">
        <v>69</v>
      </c>
      <c r="B32" s="5" t="n">
        <v>41455</v>
      </c>
      <c r="C32" s="6" t="n">
        <v>206.797</v>
      </c>
      <c r="D32" s="10" t="n">
        <f aca="false">C32/C28-1</f>
        <v>0.198844037867325</v>
      </c>
      <c r="E32" s="6" t="n">
        <v>131.377</v>
      </c>
      <c r="F32" s="7" t="n">
        <f aca="false">G32-E32</f>
        <v>37.239</v>
      </c>
      <c r="G32" s="6" t="n">
        <v>168.616</v>
      </c>
      <c r="H32" s="7" t="n">
        <f aca="false">C32-G32</f>
        <v>38.181</v>
      </c>
      <c r="I32" s="6" t="n">
        <v>16.426</v>
      </c>
      <c r="J32" s="9" t="n">
        <v>0.44</v>
      </c>
      <c r="K32" s="9" t="n">
        <v>0.65</v>
      </c>
      <c r="L32" s="10" t="n">
        <f aca="false">E32/C32</f>
        <v>0.63529451587789</v>
      </c>
      <c r="M32" s="10" t="n">
        <f aca="false">H32/C32</f>
        <v>0.184630337964284</v>
      </c>
      <c r="N32" s="11" t="n">
        <f aca="false">IF(ISNUMBER(I32),I32/C32,"n/m")</f>
        <v>0.0794305526675919</v>
      </c>
      <c r="O32" s="7" t="n">
        <f aca="false">SUM(C29:C32)</f>
        <v>726.506</v>
      </c>
      <c r="P32" s="10" t="n">
        <f aca="false">SUM(H29:H32)/O32</f>
        <v>0.152667699922643</v>
      </c>
      <c r="Q32" s="12" t="n">
        <f aca="false">SUM(J29:J32)</f>
        <v>1.33</v>
      </c>
      <c r="R32" s="12" t="n">
        <f aca="false">SUM(K29:K32)</f>
        <v>2.23</v>
      </c>
      <c r="S32" s="9" t="n">
        <v>39.28</v>
      </c>
      <c r="T32" s="13" t="n">
        <f aca="false">IF(Q32&gt;0,S32/Q32,"n/m")</f>
        <v>29.5338345864662</v>
      </c>
      <c r="U32" s="13" t="n">
        <f aca="false">IF(R32&gt;0,S32/R32,"n/m")</f>
        <v>17.6143497757848</v>
      </c>
      <c r="V32" s="2" t="s">
        <v>56</v>
      </c>
    </row>
    <row r="33" customFormat="false" ht="15" hidden="false" customHeight="false" outlineLevel="0" collapsed="false">
      <c r="A33" s="4" t="s">
        <v>70</v>
      </c>
      <c r="B33" s="5" t="n">
        <v>41547</v>
      </c>
      <c r="C33" s="6" t="n">
        <v>187.328</v>
      </c>
      <c r="D33" s="10" t="n">
        <f aca="false">C33/C29-1</f>
        <v>0.224133987675539</v>
      </c>
      <c r="E33" s="6" t="n">
        <v>118.328</v>
      </c>
      <c r="F33" s="7" t="n">
        <f aca="false">G33-E33</f>
        <v>37.132</v>
      </c>
      <c r="G33" s="6" t="n">
        <v>155.46</v>
      </c>
      <c r="H33" s="7" t="n">
        <f aca="false">C33-G33</f>
        <v>31.868</v>
      </c>
      <c r="I33" s="6" t="n">
        <v>13.962</v>
      </c>
      <c r="J33" s="9" t="n">
        <v>0.36</v>
      </c>
      <c r="K33" s="9" t="n">
        <v>0.53</v>
      </c>
      <c r="L33" s="10" t="n">
        <f aca="false">E33/C33</f>
        <v>0.631662111376836</v>
      </c>
      <c r="M33" s="10" t="n">
        <f aca="false">H33/C33</f>
        <v>0.170118722241203</v>
      </c>
      <c r="N33" s="11" t="n">
        <f aca="false">IF(ISNUMBER(I33),I33/C33,"n/m")</f>
        <v>0.0745323710283567</v>
      </c>
      <c r="O33" s="7" t="n">
        <f aca="false">SUM(C30:C33)</f>
        <v>760.805</v>
      </c>
      <c r="P33" s="10" t="n">
        <f aca="false">SUM(H30:H33)/O33</f>
        <v>0.168948679359363</v>
      </c>
      <c r="Q33" s="12" t="n">
        <f aca="false">SUM(J30:J33)</f>
        <v>1.52</v>
      </c>
      <c r="R33" s="12" t="n">
        <f aca="false">SUM(K30:K33)</f>
        <v>2.36</v>
      </c>
      <c r="S33" s="9" t="n">
        <v>49.23</v>
      </c>
      <c r="T33" s="13" t="n">
        <f aca="false">IF(Q33&gt;0,S33/Q33,"n/m")</f>
        <v>32.3881578947368</v>
      </c>
      <c r="U33" s="13" t="n">
        <f aca="false">IF(R33&gt;0,S33/R33,"n/m")</f>
        <v>20.8601694915254</v>
      </c>
      <c r="V33" s="2" t="s">
        <v>56</v>
      </c>
    </row>
    <row r="34" customFormat="false" ht="15" hidden="false" customHeight="false" outlineLevel="0" collapsed="false">
      <c r="A34" s="4" t="s">
        <v>71</v>
      </c>
      <c r="B34" s="5" t="n">
        <v>41639</v>
      </c>
      <c r="C34" s="6" t="n">
        <v>218.672</v>
      </c>
      <c r="D34" s="10" t="n">
        <f aca="false">C34/C30-1</f>
        <v>0.0215978584342837</v>
      </c>
      <c r="E34" s="6" t="n">
        <v>134.08</v>
      </c>
      <c r="F34" s="7" t="n">
        <f aca="false">G34-E34</f>
        <v>40.716</v>
      </c>
      <c r="G34" s="6" t="n">
        <v>174.796</v>
      </c>
      <c r="H34" s="7" t="n">
        <f aca="false">C34-G34</f>
        <v>43.876</v>
      </c>
      <c r="I34" s="6" t="n">
        <v>16.905</v>
      </c>
      <c r="J34" s="9" t="n">
        <v>0.42</v>
      </c>
      <c r="K34" s="9" t="n">
        <v>0.71</v>
      </c>
      <c r="L34" s="10" t="n">
        <f aca="false">E34/C34</f>
        <v>0.613155776688374</v>
      </c>
      <c r="M34" s="10" t="n">
        <f aca="false">H34/C34</f>
        <v>0.200647545181825</v>
      </c>
      <c r="N34" s="11" t="n">
        <f aca="false">IF(ISNUMBER(I34),I34/C34,"n/m")</f>
        <v>0.07730756566913</v>
      </c>
      <c r="O34" s="7" t="n">
        <f aca="false">SUM(C31:C34)</f>
        <v>765.428</v>
      </c>
      <c r="P34" s="10" t="n">
        <f aca="false">SUM(H31:H34)/O34</f>
        <v>0.170068249397723</v>
      </c>
      <c r="Q34" s="12" t="n">
        <f aca="false">SUM(J31:J34)</f>
        <v>1.38</v>
      </c>
      <c r="R34" s="12" t="n">
        <f aca="false">SUM(K31:K34)</f>
        <v>2.26</v>
      </c>
      <c r="S34" s="9" t="n">
        <v>59.78</v>
      </c>
      <c r="T34" s="13" t="n">
        <f aca="false">IF(Q34&gt;0,S34/Q34,"n/m")</f>
        <v>43.3188405797102</v>
      </c>
      <c r="U34" s="13" t="n">
        <f aca="false">IF(R34&gt;0,S34/R34,"n/m")</f>
        <v>26.4513274336283</v>
      </c>
      <c r="V34" s="2" t="s">
        <v>59</v>
      </c>
    </row>
    <row r="35" customFormat="false" ht="15" hidden="false" customHeight="false" outlineLevel="0" collapsed="false">
      <c r="A35" s="4" t="s">
        <v>72</v>
      </c>
      <c r="B35" s="5" t="n">
        <v>41729</v>
      </c>
      <c r="C35" s="6" t="n">
        <v>149.113</v>
      </c>
      <c r="D35" s="10" t="n">
        <f aca="false">C35/C31-1</f>
        <v>-0.0230490529446836</v>
      </c>
      <c r="E35" s="6" t="n">
        <v>91.392</v>
      </c>
      <c r="F35" s="7" t="n">
        <f aca="false">G35-E35</f>
        <v>37.007</v>
      </c>
      <c r="G35" s="6" t="n">
        <v>128.399</v>
      </c>
      <c r="H35" s="7" t="n">
        <f aca="false">C35-G35</f>
        <v>20.714</v>
      </c>
      <c r="I35" s="6" t="n">
        <v>10.568</v>
      </c>
      <c r="J35" s="9" t="n">
        <v>0.25</v>
      </c>
      <c r="K35" s="9" t="n">
        <v>0.31</v>
      </c>
      <c r="L35" s="10" t="n">
        <f aca="false">E35/C35</f>
        <v>0.612904307471515</v>
      </c>
      <c r="M35" s="10" t="n">
        <f aca="false">H35/C35</f>
        <v>0.138914782748654</v>
      </c>
      <c r="N35" s="11" t="n">
        <f aca="false">IF(ISNUMBER(I35),I35/C35,"n/m")</f>
        <v>0.0708724256101078</v>
      </c>
      <c r="O35" s="7" t="n">
        <f aca="false">SUM(C32:C35)</f>
        <v>761.91</v>
      </c>
      <c r="P35" s="10" t="n">
        <f aca="false">SUM(H32:H35)/O35</f>
        <v>0.176712472601751</v>
      </c>
      <c r="Q35" s="12" t="n">
        <f aca="false">SUM(J32:J35)</f>
        <v>1.47</v>
      </c>
      <c r="R35" s="12" t="n">
        <f aca="false">SUM(K32:K35)</f>
        <v>2.2</v>
      </c>
      <c r="S35" s="9" t="n">
        <v>55.25</v>
      </c>
      <c r="T35" s="13" t="n">
        <f aca="false">IF(Q35&gt;0,S35/Q35,"n/m")</f>
        <v>37.5850340136054</v>
      </c>
      <c r="U35" s="13" t="n">
        <f aca="false">IF(R35&gt;0,S35/R35,"n/m")</f>
        <v>25.1136363636364</v>
      </c>
      <c r="V35" s="2" t="s">
        <v>56</v>
      </c>
    </row>
    <row r="36" customFormat="false" ht="15" hidden="false" customHeight="false" outlineLevel="0" collapsed="false">
      <c r="A36" s="4" t="s">
        <v>73</v>
      </c>
      <c r="B36" s="5" t="n">
        <v>41820</v>
      </c>
      <c r="C36" s="6" t="n">
        <v>217.696</v>
      </c>
      <c r="D36" s="10" t="n">
        <f aca="false">C36/C32-1</f>
        <v>0.0527038593403193</v>
      </c>
      <c r="E36" s="6" t="n">
        <v>129.346</v>
      </c>
      <c r="F36" s="7" t="n">
        <f aca="false">G36-E36</f>
        <v>45.315</v>
      </c>
      <c r="G36" s="6" t="n">
        <v>174.661</v>
      </c>
      <c r="H36" s="7" t="n">
        <f aca="false">C36-G36</f>
        <v>43.035</v>
      </c>
      <c r="I36" s="6" t="n">
        <v>24.265</v>
      </c>
      <c r="J36" s="9" t="n">
        <v>0.58</v>
      </c>
      <c r="K36" s="9" t="n">
        <v>0.66</v>
      </c>
      <c r="L36" s="10" t="n">
        <f aca="false">E36/C36</f>
        <v>0.594158826988094</v>
      </c>
      <c r="M36" s="10" t="n">
        <f aca="false">H36/C36</f>
        <v>0.197683926209025</v>
      </c>
      <c r="N36" s="11" t="n">
        <f aca="false">IF(ISNUMBER(I36),I36/C36,"n/m")</f>
        <v>0.111462773776275</v>
      </c>
      <c r="O36" s="7" t="n">
        <f aca="false">SUM(C33:C36)</f>
        <v>772.809</v>
      </c>
      <c r="P36" s="10" t="n">
        <f aca="false">SUM(H33:H36)/O36</f>
        <v>0.18050126227826</v>
      </c>
      <c r="Q36" s="12" t="n">
        <f aca="false">SUM(J33:J36)</f>
        <v>1.61</v>
      </c>
      <c r="R36" s="12" t="n">
        <f aca="false">SUM(K33:K36)</f>
        <v>2.21</v>
      </c>
      <c r="S36" s="9" t="n">
        <v>57.64</v>
      </c>
      <c r="T36" s="13" t="n">
        <f aca="false">IF(Q36&gt;0,S36/Q36,"n/m")</f>
        <v>35.8012422360249</v>
      </c>
      <c r="U36" s="13" t="n">
        <f aca="false">IF(R36&gt;0,S36/R36,"n/m")</f>
        <v>26.0814479638009</v>
      </c>
      <c r="V36" s="2" t="s">
        <v>56</v>
      </c>
    </row>
    <row r="37" customFormat="false" ht="15" hidden="false" customHeight="false" outlineLevel="0" collapsed="false">
      <c r="A37" s="4" t="s">
        <v>74</v>
      </c>
      <c r="B37" s="5" t="n">
        <v>41912</v>
      </c>
      <c r="C37" s="6" t="n">
        <v>227.161</v>
      </c>
      <c r="D37" s="10" t="n">
        <f aca="false">C37/C33-1</f>
        <v>0.212637726340963</v>
      </c>
      <c r="E37" s="6" t="n">
        <v>136.561</v>
      </c>
      <c r="F37" s="7" t="n">
        <f aca="false">G37-E37</f>
        <v>51.254</v>
      </c>
      <c r="G37" s="6" t="n">
        <v>187.815</v>
      </c>
      <c r="H37" s="7" t="n">
        <f aca="false">C37-G37</f>
        <v>39.346</v>
      </c>
      <c r="I37" s="6" t="n">
        <v>24.309</v>
      </c>
      <c r="J37" s="9" t="n">
        <v>0.58</v>
      </c>
      <c r="K37" s="9" t="n">
        <v>0.71</v>
      </c>
      <c r="L37" s="10" t="n">
        <f aca="false">E37/C37</f>
        <v>0.601163932189064</v>
      </c>
      <c r="M37" s="10" t="n">
        <f aca="false">H37/C37</f>
        <v>0.173207548831005</v>
      </c>
      <c r="N37" s="11" t="n">
        <f aca="false">IF(ISNUMBER(I37),I37/C37,"n/m")</f>
        <v>0.10701220720106</v>
      </c>
      <c r="O37" s="7" t="n">
        <f aca="false">SUM(C34:C37)</f>
        <v>812.642</v>
      </c>
      <c r="P37" s="10" t="n">
        <f aca="false">SUM(H34:H37)/O37</f>
        <v>0.18085577659043</v>
      </c>
      <c r="Q37" s="12" t="n">
        <f aca="false">SUM(J34:J37)</f>
        <v>1.83</v>
      </c>
      <c r="R37" s="12" t="n">
        <f aca="false">SUM(K34:K37)</f>
        <v>2.39</v>
      </c>
      <c r="S37" s="9" t="n">
        <v>47</v>
      </c>
      <c r="T37" s="13" t="n">
        <f aca="false">IF(Q37&gt;0,S37/Q37,"n/m")</f>
        <v>25.6830601092896</v>
      </c>
      <c r="U37" s="13" t="n">
        <f aca="false">IF(R37&gt;0,S37/R37,"n/m")</f>
        <v>19.6652719665272</v>
      </c>
      <c r="V37" s="2" t="s">
        <v>56</v>
      </c>
    </row>
    <row r="38" customFormat="false" ht="15" hidden="false" customHeight="false" outlineLevel="0" collapsed="false">
      <c r="A38" s="4" t="s">
        <v>75</v>
      </c>
      <c r="B38" s="5" t="n">
        <v>42004</v>
      </c>
      <c r="C38" s="6" t="n">
        <v>321.888</v>
      </c>
      <c r="D38" s="10" t="n">
        <f aca="false">C38/C34-1</f>
        <v>0.472012877734689</v>
      </c>
      <c r="E38" s="6" t="n">
        <v>192.217</v>
      </c>
      <c r="F38" s="7" t="n">
        <f aca="false">G38-E38</f>
        <v>61.819</v>
      </c>
      <c r="G38" s="6" t="n">
        <v>254.036</v>
      </c>
      <c r="H38" s="7" t="n">
        <f aca="false">C38-G38</f>
        <v>67.852</v>
      </c>
      <c r="I38" s="6" t="n">
        <v>27.732</v>
      </c>
      <c r="J38" s="9" t="n">
        <v>0.66</v>
      </c>
      <c r="K38" s="9" t="n">
        <v>0.9</v>
      </c>
      <c r="L38" s="10" t="n">
        <f aca="false">E38/C38</f>
        <v>0.597154911024953</v>
      </c>
      <c r="M38" s="10" t="n">
        <f aca="false">H38/C38</f>
        <v>0.210793816482752</v>
      </c>
      <c r="N38" s="11" t="n">
        <f aca="false">IF(ISNUMBER(I38),I38/C38,"n/m")</f>
        <v>0.0861541902773636</v>
      </c>
      <c r="O38" s="7" t="n">
        <f aca="false">SUM(C35:C38)</f>
        <v>915.858</v>
      </c>
      <c r="P38" s="10" t="n">
        <f aca="false">SUM(H35:H38)/O38</f>
        <v>0.186652297626925</v>
      </c>
      <c r="Q38" s="12" t="n">
        <f aca="false">SUM(J35:J38)</f>
        <v>2.07</v>
      </c>
      <c r="R38" s="12" t="n">
        <f aca="false">SUM(K35:K38)</f>
        <v>2.58</v>
      </c>
      <c r="S38" s="9" t="n">
        <v>52.37</v>
      </c>
      <c r="T38" s="13" t="n">
        <f aca="false">IF(Q38&gt;0,S38/Q38,"n/m")</f>
        <v>25.2995169082126</v>
      </c>
      <c r="U38" s="13" t="n">
        <f aca="false">IF(R38&gt;0,S38/R38,"n/m")</f>
        <v>20.2984496124031</v>
      </c>
      <c r="V38" s="2" t="s">
        <v>59</v>
      </c>
    </row>
    <row r="39" customFormat="false" ht="15" hidden="false" customHeight="false" outlineLevel="0" collapsed="false">
      <c r="A39" s="4" t="s">
        <v>76</v>
      </c>
      <c r="B39" s="5" t="n">
        <v>42094</v>
      </c>
      <c r="C39" s="6" t="n">
        <v>237.983</v>
      </c>
      <c r="D39" s="10" t="n">
        <f aca="false">C39/C35-1</f>
        <v>0.595990959876067</v>
      </c>
      <c r="E39" s="6" t="n">
        <v>163.126</v>
      </c>
      <c r="F39" s="7" t="n">
        <f aca="false">G39-E39</f>
        <v>63.859</v>
      </c>
      <c r="G39" s="6" t="n">
        <v>226.985</v>
      </c>
      <c r="H39" s="7" t="n">
        <f aca="false">C39-G39</f>
        <v>10.998</v>
      </c>
      <c r="I39" s="6" t="n">
        <v>4.3</v>
      </c>
      <c r="J39" s="9" t="n">
        <v>0.1</v>
      </c>
      <c r="K39" s="9" t="n">
        <v>0.56</v>
      </c>
      <c r="L39" s="10" t="n">
        <f aca="false">E39/C39</f>
        <v>0.685452322224697</v>
      </c>
      <c r="M39" s="10" t="n">
        <f aca="false">H39/C39</f>
        <v>0.0462133849896841</v>
      </c>
      <c r="N39" s="11" t="n">
        <f aca="false">IF(ISNUMBER(I39),I39/C39,"n/m")</f>
        <v>0.0180685174991491</v>
      </c>
      <c r="O39" s="7" t="n">
        <f aca="false">SUM(C36:C39)</f>
        <v>1004.728</v>
      </c>
      <c r="P39" s="10" t="n">
        <f aca="false">SUM(H36:H39)/O39</f>
        <v>0.160472287026937</v>
      </c>
      <c r="Q39" s="12" t="n">
        <f aca="false">SUM(J36:J39)</f>
        <v>1.92</v>
      </c>
      <c r="R39" s="12" t="n">
        <f aca="false">SUM(K36:K39)</f>
        <v>2.83</v>
      </c>
      <c r="S39" s="9" t="n">
        <v>51.66</v>
      </c>
      <c r="T39" s="13" t="n">
        <f aca="false">IF(Q39&gt;0,S39/Q39,"n/m")</f>
        <v>26.90625</v>
      </c>
      <c r="U39" s="13" t="n">
        <f aca="false">IF(R39&gt;0,S39/R39,"n/m")</f>
        <v>18.2544169611307</v>
      </c>
      <c r="V39" s="2" t="s">
        <v>56</v>
      </c>
    </row>
    <row r="40" customFormat="false" ht="15" hidden="false" customHeight="false" outlineLevel="0" collapsed="false">
      <c r="A40" s="4" t="s">
        <v>77</v>
      </c>
      <c r="B40" s="5" t="n">
        <v>42185</v>
      </c>
      <c r="C40" s="6" t="n">
        <v>268.096</v>
      </c>
      <c r="D40" s="10" t="n">
        <f aca="false">C40/C36-1</f>
        <v>0.231515507864178</v>
      </c>
      <c r="E40" s="6" t="n">
        <v>173.144</v>
      </c>
      <c r="F40" s="7" t="n">
        <f aca="false">G40-E40</f>
        <v>63.841</v>
      </c>
      <c r="G40" s="6" t="n">
        <v>236.985</v>
      </c>
      <c r="H40" s="7" t="n">
        <f aca="false">C40-G40</f>
        <v>31.111</v>
      </c>
      <c r="I40" s="6" t="n">
        <v>10.764</v>
      </c>
      <c r="J40" s="9" t="n">
        <v>0.26</v>
      </c>
      <c r="K40" s="9" t="n">
        <v>0.65</v>
      </c>
      <c r="L40" s="10" t="n">
        <f aca="false">E40/C40</f>
        <v>0.645828359990451</v>
      </c>
      <c r="M40" s="10" t="n">
        <f aca="false">H40/C40</f>
        <v>0.116044252804965</v>
      </c>
      <c r="N40" s="11" t="n">
        <f aca="false">IF(ISNUMBER(I40),I40/C40,"n/m")</f>
        <v>0.0401497970876104</v>
      </c>
      <c r="O40" s="7" t="n">
        <f aca="false">SUM(C37:C40)</f>
        <v>1055.128</v>
      </c>
      <c r="P40" s="10" t="n">
        <f aca="false">SUM(H37:H40)/O40</f>
        <v>0.14150605424176</v>
      </c>
      <c r="Q40" s="12" t="n">
        <f aca="false">SUM(J37:J40)</f>
        <v>1.6</v>
      </c>
      <c r="R40" s="12" t="n">
        <f aca="false">SUM(K37:K40)</f>
        <v>2.82</v>
      </c>
      <c r="S40" s="9" t="n">
        <v>53.96</v>
      </c>
      <c r="T40" s="13" t="n">
        <f aca="false">IF(Q40&gt;0,S40/Q40,"n/m")</f>
        <v>33.725</v>
      </c>
      <c r="U40" s="13" t="n">
        <f aca="false">IF(R40&gt;0,S40/R40,"n/m")</f>
        <v>19.1347517730496</v>
      </c>
      <c r="V40" s="2" t="s">
        <v>56</v>
      </c>
    </row>
    <row r="41" customFormat="false" ht="15" hidden="false" customHeight="false" outlineLevel="0" collapsed="false">
      <c r="A41" s="4" t="s">
        <v>78</v>
      </c>
      <c r="B41" s="5" t="n">
        <v>42277</v>
      </c>
      <c r="C41" s="6" t="n">
        <v>308.951</v>
      </c>
      <c r="D41" s="10" t="n">
        <f aca="false">C41/C37-1</f>
        <v>0.360053002055811</v>
      </c>
      <c r="E41" s="6" t="n">
        <v>197.375</v>
      </c>
      <c r="F41" s="7" t="n">
        <f aca="false">G41-E41</f>
        <v>99.678</v>
      </c>
      <c r="G41" s="6" t="n">
        <v>297.053</v>
      </c>
      <c r="H41" s="7" t="n">
        <f aca="false">C41-G41</f>
        <v>11.898</v>
      </c>
      <c r="I41" s="6" t="n">
        <v>7.197</v>
      </c>
      <c r="J41" s="9" t="n">
        <v>0.16</v>
      </c>
      <c r="K41" s="9" t="n">
        <v>0.81</v>
      </c>
      <c r="L41" s="10" t="n">
        <f aca="false">E41/C41</f>
        <v>0.638855352466896</v>
      </c>
      <c r="M41" s="10" t="n">
        <f aca="false">H41/C41</f>
        <v>0.038510961285123</v>
      </c>
      <c r="N41" s="11" t="n">
        <f aca="false">IF(ISNUMBER(I41),I41/C41,"n/m")</f>
        <v>0.0232949561580963</v>
      </c>
      <c r="O41" s="7" t="n">
        <f aca="false">SUM(C38:C41)</f>
        <v>1136.918</v>
      </c>
      <c r="P41" s="10" t="n">
        <f aca="false">SUM(H38:H41)/O41</f>
        <v>0.107183631537191</v>
      </c>
      <c r="Q41" s="12" t="n">
        <f aca="false">SUM(J38:J41)</f>
        <v>1.18</v>
      </c>
      <c r="R41" s="12" t="n">
        <f aca="false">SUM(K38:K41)</f>
        <v>2.92</v>
      </c>
      <c r="S41" s="9" t="n">
        <v>50.24</v>
      </c>
      <c r="T41" s="13" t="n">
        <f aca="false">IF(Q41&gt;0,S41/Q41,"n/m")</f>
        <v>42.5762711864407</v>
      </c>
      <c r="U41" s="13" t="n">
        <f aca="false">IF(R41&gt;0,S41/R41,"n/m")</f>
        <v>17.2054794520548</v>
      </c>
      <c r="V41" s="2" t="s">
        <v>56</v>
      </c>
    </row>
    <row r="42" customFormat="false" ht="15" hidden="false" customHeight="false" outlineLevel="0" collapsed="false">
      <c r="A42" s="4" t="s">
        <v>79</v>
      </c>
      <c r="B42" s="5" t="n">
        <v>42369</v>
      </c>
      <c r="C42" s="6" t="n">
        <v>408.243</v>
      </c>
      <c r="D42" s="10" t="n">
        <f aca="false">C42/C38-1</f>
        <v>0.268276543393976</v>
      </c>
      <c r="E42" s="6" t="n">
        <v>254.53</v>
      </c>
      <c r="F42" s="7" t="n">
        <f aca="false">G42-E42</f>
        <v>79.05</v>
      </c>
      <c r="G42" s="6" t="n">
        <v>333.58</v>
      </c>
      <c r="H42" s="7" t="n">
        <f aca="false">C42-G42</f>
        <v>74.663</v>
      </c>
      <c r="I42" s="6" t="n">
        <v>20.602</v>
      </c>
      <c r="J42" s="9" t="n">
        <v>0.45</v>
      </c>
      <c r="K42" s="9" t="n">
        <v>1.22</v>
      </c>
      <c r="L42" s="10" t="n">
        <f aca="false">E42/C42</f>
        <v>0.623476703825908</v>
      </c>
      <c r="M42" s="10" t="n">
        <f aca="false">H42/C42</f>
        <v>0.182888622707554</v>
      </c>
      <c r="N42" s="11" t="n">
        <f aca="false">IF(ISNUMBER(I42),I42/C42,"n/m")</f>
        <v>0.0504650416541129</v>
      </c>
      <c r="O42" s="7" t="n">
        <f aca="false">SUM(C39:C42)</f>
        <v>1223.273</v>
      </c>
      <c r="P42" s="10" t="n">
        <f aca="false">SUM(H39:H42)/O42</f>
        <v>0.105185024111543</v>
      </c>
      <c r="Q42" s="12" t="n">
        <f aca="false">SUM(J39:J42)</f>
        <v>0.97</v>
      </c>
      <c r="R42" s="12" t="n">
        <f aca="false">SUM(K39:K42)</f>
        <v>3.24</v>
      </c>
      <c r="S42" s="9" t="n">
        <v>54.07</v>
      </c>
      <c r="T42" s="13" t="n">
        <f aca="false">IF(Q42&gt;0,S42/Q42,"n/m")</f>
        <v>55.7422680412371</v>
      </c>
      <c r="U42" s="13" t="n">
        <f aca="false">IF(R42&gt;0,S42/R42,"n/m")</f>
        <v>16.6882716049383</v>
      </c>
      <c r="V42" s="2" t="s">
        <v>59</v>
      </c>
    </row>
    <row r="43" customFormat="false" ht="15" hidden="false" customHeight="false" outlineLevel="0" collapsed="false">
      <c r="A43" s="4" t="s">
        <v>80</v>
      </c>
      <c r="B43" s="5" t="n">
        <v>42460</v>
      </c>
      <c r="C43" s="6" t="n">
        <v>257.713</v>
      </c>
      <c r="D43" s="10" t="n">
        <f aca="false">C43/C39-1</f>
        <v>0.0829050814553982</v>
      </c>
      <c r="E43" s="6" t="n">
        <v>179.915</v>
      </c>
      <c r="F43" s="7" t="n">
        <f aca="false">G43-E43</f>
        <v>61.673</v>
      </c>
      <c r="G43" s="6" t="n">
        <v>241.588</v>
      </c>
      <c r="H43" s="7" t="n">
        <f aca="false">C43-G43</f>
        <v>16.125</v>
      </c>
      <c r="I43" s="6" t="n">
        <v>5.318</v>
      </c>
      <c r="J43" s="9" t="n">
        <v>0.12</v>
      </c>
      <c r="K43" s="9" t="n">
        <v>0.63</v>
      </c>
      <c r="L43" s="10" t="n">
        <f aca="false">E43/C43</f>
        <v>0.698121553821499</v>
      </c>
      <c r="M43" s="10" t="n">
        <f aca="false">H43/C43</f>
        <v>0.0625696026199688</v>
      </c>
      <c r="N43" s="11" t="n">
        <f aca="false">IF(ISNUMBER(I43),I43/C43,"n/m")</f>
        <v>0.0206353579369298</v>
      </c>
      <c r="O43" s="7" t="n">
        <f aca="false">SUM(C40:C43)</f>
        <v>1243.003</v>
      </c>
      <c r="P43" s="10" t="n">
        <f aca="false">SUM(H40:H43)/O43</f>
        <v>0.107640126371376</v>
      </c>
      <c r="Q43" s="12" t="n">
        <f aca="false">SUM(J40:J43)</f>
        <v>0.99</v>
      </c>
      <c r="R43" s="12" t="n">
        <f aca="false">SUM(K40:K43)</f>
        <v>3.31</v>
      </c>
      <c r="S43" s="9" t="n">
        <v>51.75</v>
      </c>
      <c r="T43" s="13" t="n">
        <f aca="false">IF(Q43&gt;0,S43/Q43,"n/m")</f>
        <v>52.2727272727273</v>
      </c>
      <c r="U43" s="13" t="n">
        <f aca="false">IF(R43&gt;0,S43/R43,"n/m")</f>
        <v>15.6344410876133</v>
      </c>
      <c r="V43" s="2" t="s">
        <v>56</v>
      </c>
    </row>
    <row r="44" customFormat="false" ht="15" hidden="false" customHeight="false" outlineLevel="0" collapsed="false">
      <c r="A44" s="4" t="s">
        <v>81</v>
      </c>
      <c r="B44" s="5" t="n">
        <v>42551</v>
      </c>
      <c r="C44" s="6" t="n">
        <v>350.656</v>
      </c>
      <c r="D44" s="10" t="n">
        <f aca="false">C44/C40-1</f>
        <v>0.307949391262831</v>
      </c>
      <c r="E44" s="6" t="n">
        <v>221.334</v>
      </c>
      <c r="F44" s="7" t="n">
        <f aca="false">G44-E44</f>
        <v>66.717</v>
      </c>
      <c r="G44" s="6" t="n">
        <v>288.051</v>
      </c>
      <c r="H44" s="7" t="n">
        <f aca="false">C44-G44</f>
        <v>62.605</v>
      </c>
      <c r="I44" s="6" t="n">
        <v>24.087</v>
      </c>
      <c r="J44" s="9" t="n">
        <v>0.55</v>
      </c>
      <c r="K44" s="9" t="n">
        <v>1.04</v>
      </c>
      <c r="L44" s="10" t="n">
        <f aca="false">E44/C44</f>
        <v>0.63119980835919</v>
      </c>
      <c r="M44" s="10" t="n">
        <f aca="false">H44/C44</f>
        <v>0.178536799598467</v>
      </c>
      <c r="N44" s="11" t="n">
        <f aca="false">IF(ISNUMBER(I44),I44/C44,"n/m")</f>
        <v>0.0686912529658697</v>
      </c>
      <c r="O44" s="7" t="n">
        <f aca="false">SUM(C41:C44)</f>
        <v>1325.563</v>
      </c>
      <c r="P44" s="10" t="n">
        <f aca="false">SUM(H41:H44)/O44</f>
        <v>0.124694940942075</v>
      </c>
      <c r="Q44" s="12" t="n">
        <f aca="false">SUM(J41:J44)</f>
        <v>1.28</v>
      </c>
      <c r="R44" s="12" t="n">
        <f aca="false">SUM(K41:K44)</f>
        <v>3.7</v>
      </c>
      <c r="S44" s="9" t="n">
        <v>44.19</v>
      </c>
      <c r="T44" s="13" t="n">
        <f aca="false">IF(Q44&gt;0,S44/Q44,"n/m")</f>
        <v>34.5234375</v>
      </c>
      <c r="U44" s="13" t="n">
        <f aca="false">IF(R44&gt;0,S44/R44,"n/m")</f>
        <v>11.9432432432432</v>
      </c>
      <c r="V44" s="2" t="s">
        <v>56</v>
      </c>
    </row>
    <row r="45" customFormat="false" ht="15" hidden="false" customHeight="false" outlineLevel="0" collapsed="false">
      <c r="A45" s="4" t="s">
        <v>82</v>
      </c>
      <c r="B45" s="5" t="n">
        <v>42643</v>
      </c>
      <c r="C45" s="6" t="n">
        <v>386.314</v>
      </c>
      <c r="D45" s="10" t="n">
        <f aca="false">C45/C41-1</f>
        <v>0.250405404093206</v>
      </c>
      <c r="E45" s="6" t="n">
        <v>231.71</v>
      </c>
      <c r="F45" s="7" t="n">
        <f aca="false">G45-E45</f>
        <v>69.519</v>
      </c>
      <c r="G45" s="6" t="n">
        <v>301.229</v>
      </c>
      <c r="H45" s="7" t="n">
        <f aca="false">C45-G45</f>
        <v>85.085</v>
      </c>
      <c r="I45" s="6" t="n">
        <v>34.695</v>
      </c>
      <c r="J45" s="9" t="n">
        <v>0.79</v>
      </c>
      <c r="K45" s="9" t="n">
        <v>1.22</v>
      </c>
      <c r="L45" s="10" t="n">
        <f aca="false">E45/C45</f>
        <v>0.599797056280642</v>
      </c>
      <c r="M45" s="10" t="n">
        <f aca="false">H45/C45</f>
        <v>0.220248295428072</v>
      </c>
      <c r="N45" s="11" t="n">
        <f aca="false">IF(ISNUMBER(I45),I45/C45,"n/m")</f>
        <v>0.0898103615193858</v>
      </c>
      <c r="O45" s="7" t="n">
        <f aca="false">SUM(C42:C45)</f>
        <v>1402.926</v>
      </c>
      <c r="P45" s="10" t="n">
        <f aca="false">SUM(H42:H45)/O45</f>
        <v>0.169986157502249</v>
      </c>
      <c r="Q45" s="12" t="n">
        <f aca="false">SUM(J42:J45)</f>
        <v>1.91</v>
      </c>
      <c r="R45" s="12" t="n">
        <f aca="false">SUM(K42:K45)</f>
        <v>4.11</v>
      </c>
      <c r="S45" s="9" t="n">
        <v>51.51</v>
      </c>
      <c r="T45" s="13" t="n">
        <f aca="false">IF(Q45&gt;0,S45/Q45,"n/m")</f>
        <v>26.9685863874346</v>
      </c>
      <c r="U45" s="13" t="n">
        <f aca="false">IF(R45&gt;0,S45/R45,"n/m")</f>
        <v>12.5328467153285</v>
      </c>
      <c r="V45" s="2" t="s">
        <v>56</v>
      </c>
    </row>
    <row r="46" customFormat="false" ht="15" hidden="false" customHeight="false" outlineLevel="0" collapsed="false">
      <c r="A46" s="4" t="s">
        <v>83</v>
      </c>
      <c r="B46" s="5" t="n">
        <v>42735</v>
      </c>
      <c r="C46" s="6" t="n">
        <v>445.369</v>
      </c>
      <c r="D46" s="10" t="n">
        <f aca="false">C46/C42-1</f>
        <v>0.0909409346884087</v>
      </c>
      <c r="E46" s="6" t="n">
        <v>267.631</v>
      </c>
      <c r="F46" s="7" t="n">
        <f aca="false">G46-E46</f>
        <v>80.379</v>
      </c>
      <c r="G46" s="6" t="n">
        <v>348.01</v>
      </c>
      <c r="H46" s="7" t="n">
        <f aca="false">C46-G46</f>
        <v>97.359</v>
      </c>
      <c r="I46" s="6" t="n">
        <v>43.428</v>
      </c>
      <c r="J46" s="9" t="n">
        <v>0.98</v>
      </c>
      <c r="K46" s="9" t="n">
        <v>1.43</v>
      </c>
      <c r="L46" s="10" t="n">
        <f aca="false">E46/C46</f>
        <v>0.600919686821489</v>
      </c>
      <c r="M46" s="10" t="n">
        <f aca="false">H46/C46</f>
        <v>0.218603001106947</v>
      </c>
      <c r="N46" s="11" t="n">
        <f aca="false">IF(ISNUMBER(I46),I46/C46,"n/m")</f>
        <v>0.0975101545010991</v>
      </c>
      <c r="O46" s="7" t="n">
        <f aca="false">SUM(C43:C46)</f>
        <v>1440.052</v>
      </c>
      <c r="P46" s="10" t="n">
        <f aca="false">SUM(H43:H46)/O46</f>
        <v>0.18136428406752</v>
      </c>
      <c r="Q46" s="12" t="n">
        <f aca="false">SUM(J43:J46)</f>
        <v>2.44</v>
      </c>
      <c r="R46" s="12" t="n">
        <f aca="false">SUM(K43:K46)</f>
        <v>4.32</v>
      </c>
      <c r="S46" s="9" t="n">
        <v>68.7</v>
      </c>
      <c r="T46" s="13" t="n">
        <f aca="false">IF(Q46&gt;0,S46/Q46,"n/m")</f>
        <v>28.155737704918</v>
      </c>
      <c r="U46" s="13" t="n">
        <f aca="false">IF(R46&gt;0,S46/R46,"n/m")</f>
        <v>15.9027777777778</v>
      </c>
      <c r="V46" s="2" t="s">
        <v>59</v>
      </c>
    </row>
    <row r="47" customFormat="false" ht="15" hidden="false" customHeight="false" outlineLevel="0" collapsed="false">
      <c r="A47" s="4" t="s">
        <v>84</v>
      </c>
      <c r="B47" s="5" t="n">
        <v>42825</v>
      </c>
      <c r="C47" s="6" t="n">
        <v>387.247</v>
      </c>
      <c r="D47" s="10" t="n">
        <f aca="false">C47/C43-1</f>
        <v>0.502628893381397</v>
      </c>
      <c r="E47" s="6" t="n">
        <v>205.558</v>
      </c>
      <c r="F47" s="7" t="n">
        <f aca="false">G47-E47</f>
        <v>70.36</v>
      </c>
      <c r="G47" s="6" t="n">
        <v>275.918</v>
      </c>
      <c r="H47" s="7" t="n">
        <f aca="false">C47-G47</f>
        <v>111.329</v>
      </c>
      <c r="I47" s="6" t="n">
        <v>80.771</v>
      </c>
      <c r="J47" s="9" t="n">
        <v>1.76</v>
      </c>
      <c r="K47" s="9" t="n">
        <v>1.61</v>
      </c>
      <c r="L47" s="10" t="n">
        <f aca="false">E47/C47</f>
        <v>0.530818831391851</v>
      </c>
      <c r="M47" s="10" t="n">
        <f aca="false">H47/C47</f>
        <v>0.287488347230579</v>
      </c>
      <c r="N47" s="11" t="n">
        <f aca="false">IF(ISNUMBER(I47),I47/C47,"n/m")</f>
        <v>0.208577471226375</v>
      </c>
      <c r="O47" s="7" t="n">
        <f aca="false">SUM(C44:C47)</f>
        <v>1569.586</v>
      </c>
      <c r="P47" s="10" t="n">
        <f aca="false">SUM(H44:H47)/O47</f>
        <v>0.227052229059128</v>
      </c>
      <c r="Q47" s="12" t="n">
        <f aca="false">SUM(J44:J47)</f>
        <v>4.08</v>
      </c>
      <c r="R47" s="12" t="n">
        <f aca="false">SUM(K44:K47)</f>
        <v>5.3</v>
      </c>
      <c r="S47" s="9" t="n">
        <v>77.9</v>
      </c>
      <c r="T47" s="13" t="n">
        <f aca="false">IF(Q47&gt;0,S47/Q47,"n/m")</f>
        <v>19.093137254902</v>
      </c>
      <c r="U47" s="13" t="n">
        <f aca="false">IF(R47&gt;0,S47/R47,"n/m")</f>
        <v>14.6981132075472</v>
      </c>
      <c r="V47" s="2" t="s">
        <v>56</v>
      </c>
    </row>
    <row r="48" customFormat="false" ht="15" hidden="false" customHeight="false" outlineLevel="0" collapsed="false">
      <c r="A48" s="4" t="s">
        <v>85</v>
      </c>
      <c r="B48" s="5" t="n">
        <v>42916</v>
      </c>
      <c r="C48" s="6" t="n">
        <v>370.47</v>
      </c>
      <c r="D48" s="10" t="n">
        <f aca="false">C48/C44-1</f>
        <v>0.0565055210804892</v>
      </c>
      <c r="E48" s="6" t="n">
        <v>236.856</v>
      </c>
      <c r="F48" s="7" t="n">
        <f aca="false">G48-E48</f>
        <v>87.348</v>
      </c>
      <c r="G48" s="6" t="n">
        <v>324.204</v>
      </c>
      <c r="H48" s="7" t="n">
        <f aca="false">C48-G48</f>
        <v>46.266</v>
      </c>
      <c r="I48" s="6" t="n">
        <v>18.184</v>
      </c>
      <c r="J48" s="9" t="n">
        <v>0.41</v>
      </c>
      <c r="K48" s="9" t="n">
        <v>1.06</v>
      </c>
      <c r="L48" s="10" t="n">
        <f aca="false">E48/C48</f>
        <v>0.639339217750425</v>
      </c>
      <c r="M48" s="10" t="n">
        <f aca="false">H48/C48</f>
        <v>0.124884606040975</v>
      </c>
      <c r="N48" s="11" t="n">
        <f aca="false">IF(ISNUMBER(I48),I48/C48,"n/m")</f>
        <v>0.0490835965125381</v>
      </c>
      <c r="O48" s="7" t="n">
        <f aca="false">SUM(C45:C48)</f>
        <v>1589.4</v>
      </c>
      <c r="P48" s="10" t="n">
        <f aca="false">SUM(H45:H48)/O48</f>
        <v>0.213941739021014</v>
      </c>
      <c r="Q48" s="12" t="n">
        <f aca="false">SUM(J45:J48)</f>
        <v>3.94</v>
      </c>
      <c r="R48" s="12" t="n">
        <f aca="false">SUM(K45:K48)</f>
        <v>5.32</v>
      </c>
      <c r="S48" s="9" t="n">
        <v>70.5</v>
      </c>
      <c r="T48" s="13" t="n">
        <f aca="false">IF(Q48&gt;0,S48/Q48,"n/m")</f>
        <v>17.8934010152284</v>
      </c>
      <c r="U48" s="13" t="n">
        <f aca="false">IF(R48&gt;0,S48/R48,"n/m")</f>
        <v>13.2518796992481</v>
      </c>
      <c r="V48" s="2" t="s">
        <v>56</v>
      </c>
    </row>
    <row r="49" customFormat="false" ht="15" hidden="false" customHeight="false" outlineLevel="0" collapsed="false">
      <c r="A49" s="4" t="s">
        <v>86</v>
      </c>
      <c r="B49" s="5" t="n">
        <v>43008</v>
      </c>
      <c r="C49" s="6" t="n">
        <v>406.601</v>
      </c>
      <c r="D49" s="10" t="n">
        <f aca="false">C49/C45-1</f>
        <v>0.052514275951687</v>
      </c>
      <c r="E49" s="6" t="n">
        <v>246.772</v>
      </c>
      <c r="F49" s="7" t="n">
        <f aca="false">G49-E49</f>
        <v>72.759</v>
      </c>
      <c r="G49" s="6" t="n">
        <v>319.531</v>
      </c>
      <c r="H49" s="7" t="n">
        <f aca="false">C49-G49</f>
        <v>87.07</v>
      </c>
      <c r="I49" s="6" t="n">
        <v>45.911</v>
      </c>
      <c r="J49" s="9" t="n">
        <v>1.04</v>
      </c>
      <c r="K49" s="9" t="n">
        <v>1.22</v>
      </c>
      <c r="L49" s="10" t="n">
        <f aca="false">E49/C49</f>
        <v>0.606914395193322</v>
      </c>
      <c r="M49" s="10" t="n">
        <f aca="false">H49/C49</f>
        <v>0.214141135904732</v>
      </c>
      <c r="N49" s="11" t="n">
        <f aca="false">IF(ISNUMBER(I49),I49/C49,"n/m")</f>
        <v>0.112914134495488</v>
      </c>
      <c r="O49" s="7" t="n">
        <f aca="false">SUM(C46:C49)</f>
        <v>1609.687</v>
      </c>
      <c r="P49" s="10" t="n">
        <f aca="false">SUM(H46:H49)/O49</f>
        <v>0.212478575027319</v>
      </c>
      <c r="Q49" s="12" t="n">
        <f aca="false">SUM(J46:J49)</f>
        <v>4.19</v>
      </c>
      <c r="R49" s="12" t="n">
        <f aca="false">SUM(K46:K49)</f>
        <v>5.32</v>
      </c>
      <c r="S49" s="9" t="n">
        <v>80.25</v>
      </c>
      <c r="T49" s="13" t="n">
        <f aca="false">IF(Q49&gt;0,S49/Q49,"n/m")</f>
        <v>19.1527446300716</v>
      </c>
      <c r="U49" s="13" t="n">
        <f aca="false">IF(R49&gt;0,S49/R49,"n/m")</f>
        <v>15.0845864661654</v>
      </c>
      <c r="V49" s="2" t="s">
        <v>56</v>
      </c>
    </row>
    <row r="50" customFormat="false" ht="15" hidden="false" customHeight="false" outlineLevel="0" collapsed="false">
      <c r="A50" s="4" t="s">
        <v>87</v>
      </c>
      <c r="B50" s="5" t="n">
        <v>43100</v>
      </c>
      <c r="C50" s="6" t="n">
        <v>540.031</v>
      </c>
      <c r="D50" s="10" t="n">
        <f aca="false">C50/C46-1</f>
        <v>0.212547348378535</v>
      </c>
      <c r="E50" s="6" t="n">
        <v>273.326</v>
      </c>
      <c r="F50" s="7" t="n">
        <f aca="false">G50-E50</f>
        <v>82.559</v>
      </c>
      <c r="G50" s="6" t="n">
        <v>355.885</v>
      </c>
      <c r="H50" s="7" t="n">
        <f aca="false">C50-G50</f>
        <v>184.146</v>
      </c>
      <c r="I50" s="6" t="n">
        <v>-19.412</v>
      </c>
      <c r="J50" s="9" t="n">
        <v>-0.5</v>
      </c>
      <c r="K50" s="9" t="n">
        <v>1.55</v>
      </c>
      <c r="L50" s="10" t="n">
        <f aca="false">E50/C50</f>
        <v>0.506130203636458</v>
      </c>
      <c r="M50" s="10" t="n">
        <f aca="false">H50/C50</f>
        <v>0.3409915356711</v>
      </c>
      <c r="N50" s="11" t="n">
        <f aca="false">IF(ISNUMBER(I50),I50/C50,"n/m")</f>
        <v>-0.0359460845766262</v>
      </c>
      <c r="O50" s="7" t="n">
        <f aca="false">SUM(C47:C50)</f>
        <v>1704.349</v>
      </c>
      <c r="P50" s="10" t="n">
        <f aca="false">SUM(H47:H50)/O50</f>
        <v>0.251598117521705</v>
      </c>
      <c r="Q50" s="12" t="n">
        <f aca="false">SUM(J47:J50)</f>
        <v>2.71</v>
      </c>
      <c r="R50" s="12" t="n">
        <f aca="false">SUM(K47:K50)</f>
        <v>5.44</v>
      </c>
      <c r="S50" s="9" t="n">
        <v>90</v>
      </c>
      <c r="T50" s="13" t="n">
        <f aca="false">IF(Q50&gt;0,S50/Q50,"n/m")</f>
        <v>33.210332103321</v>
      </c>
      <c r="U50" s="13" t="n">
        <f aca="false">IF(R50&gt;0,S50/R50,"n/m")</f>
        <v>16.5441176470588</v>
      </c>
      <c r="V50" s="2" t="s">
        <v>59</v>
      </c>
    </row>
    <row r="51" customFormat="false" ht="15" hidden="false" customHeight="false" outlineLevel="0" collapsed="false">
      <c r="A51" s="4" t="s">
        <v>88</v>
      </c>
      <c r="B51" s="5" t="n">
        <v>43190</v>
      </c>
      <c r="C51" s="6" t="n">
        <v>463.563</v>
      </c>
      <c r="D51" s="10" t="n">
        <f aca="false">C51/C47-1</f>
        <v>0.197073185847792</v>
      </c>
      <c r="E51" s="6" t="n">
        <v>275.494</v>
      </c>
      <c r="F51" s="7" t="n">
        <f aca="false">G51-E51</f>
        <v>75.52</v>
      </c>
      <c r="G51" s="6" t="n">
        <v>351.014</v>
      </c>
      <c r="H51" s="7" t="n">
        <f aca="false">C51-G51</f>
        <v>112.549</v>
      </c>
      <c r="I51" s="6" t="n">
        <v>95.543</v>
      </c>
      <c r="J51" s="9" t="n">
        <v>2.1</v>
      </c>
      <c r="K51" s="9" t="n">
        <v>2.24</v>
      </c>
      <c r="L51" s="10" t="n">
        <f aca="false">E51/C51</f>
        <v>0.594296783824421</v>
      </c>
      <c r="M51" s="10" t="n">
        <f aca="false">H51/C51</f>
        <v>0.242791163229162</v>
      </c>
      <c r="N51" s="11" t="n">
        <f aca="false">IF(ISNUMBER(I51),I51/C51,"n/m")</f>
        <v>0.206105750458945</v>
      </c>
      <c r="O51" s="7" t="n">
        <f aca="false">SUM(C48:C51)</f>
        <v>1780.665</v>
      </c>
      <c r="P51" s="10" t="n">
        <f aca="false">SUM(H48:H51)/O51</f>
        <v>0.241500226039148</v>
      </c>
      <c r="Q51" s="12" t="n">
        <f aca="false">SUM(J48:J51)</f>
        <v>3.05</v>
      </c>
      <c r="R51" s="12" t="n">
        <f aca="false">SUM(K48:K51)</f>
        <v>6.07</v>
      </c>
      <c r="S51" s="9" t="n">
        <v>87.2</v>
      </c>
      <c r="T51" s="13" t="n">
        <f aca="false">IF(Q51&gt;0,S51/Q51,"n/m")</f>
        <v>28.5901639344262</v>
      </c>
      <c r="U51" s="13" t="n">
        <f aca="false">IF(R51&gt;0,S51/R51,"n/m")</f>
        <v>14.3657331136738</v>
      </c>
      <c r="V51" s="2" t="s">
        <v>56</v>
      </c>
    </row>
    <row r="52" customFormat="false" ht="15" hidden="false" customHeight="false" outlineLevel="0" collapsed="false">
      <c r="A52" s="4" t="s">
        <v>89</v>
      </c>
      <c r="B52" s="5" t="n">
        <v>43281</v>
      </c>
      <c r="C52" s="6" t="n">
        <v>448.477</v>
      </c>
      <c r="D52" s="10" t="n">
        <f aca="false">C52/C48-1</f>
        <v>0.210562258752395</v>
      </c>
      <c r="E52" s="6" t="n">
        <v>265.591</v>
      </c>
      <c r="F52" s="7" t="n">
        <f aca="false">G52-E52</f>
        <v>78.104</v>
      </c>
      <c r="G52" s="6" t="n">
        <v>343.695</v>
      </c>
      <c r="H52" s="7" t="n">
        <f aca="false">C52-G52</f>
        <v>104.782</v>
      </c>
      <c r="I52" s="6" t="n">
        <v>68.931</v>
      </c>
      <c r="J52" s="9" t="n">
        <v>1.52</v>
      </c>
      <c r="K52" s="9" t="n">
        <v>1.65</v>
      </c>
      <c r="L52" s="10" t="n">
        <f aca="false">E52/C52</f>
        <v>0.592206512262613</v>
      </c>
      <c r="M52" s="10" t="n">
        <f aca="false">H52/C52</f>
        <v>0.233639629234052</v>
      </c>
      <c r="N52" s="11" t="n">
        <f aca="false">IF(ISNUMBER(I52),I52/C52,"n/m")</f>
        <v>0.153700189753321</v>
      </c>
      <c r="O52" s="7" t="n">
        <f aca="false">SUM(C49:C52)</f>
        <v>1858.672</v>
      </c>
      <c r="P52" s="10" t="n">
        <f aca="false">SUM(H49:H52)/O52</f>
        <v>0.26284734477089</v>
      </c>
      <c r="Q52" s="12" t="n">
        <f aca="false">SUM(J49:J52)</f>
        <v>4.16</v>
      </c>
      <c r="R52" s="12" t="n">
        <f aca="false">SUM(K49:K52)</f>
        <v>6.66</v>
      </c>
      <c r="S52" s="9" t="n">
        <v>105.45</v>
      </c>
      <c r="T52" s="13" t="n">
        <f aca="false">IF(Q52&gt;0,S52/Q52,"n/m")</f>
        <v>25.3485576923077</v>
      </c>
      <c r="U52" s="13" t="n">
        <f aca="false">IF(R52&gt;0,S52/R52,"n/m")</f>
        <v>15.8333333333333</v>
      </c>
      <c r="V52" s="2" t="s">
        <v>56</v>
      </c>
    </row>
    <row r="53" customFormat="false" ht="15" hidden="false" customHeight="false" outlineLevel="0" collapsed="false">
      <c r="A53" s="4" t="s">
        <v>90</v>
      </c>
      <c r="B53" s="5" t="n">
        <v>43373</v>
      </c>
      <c r="C53" s="6" t="n">
        <v>381.259</v>
      </c>
      <c r="D53" s="10" t="n">
        <f aca="false">C53/C49-1</f>
        <v>-0.0623264576329128</v>
      </c>
      <c r="E53" s="6" t="n">
        <v>225.452</v>
      </c>
      <c r="F53" s="7" t="n">
        <f aca="false">G53-E53</f>
        <v>81.267</v>
      </c>
      <c r="G53" s="6" t="n">
        <v>306.719</v>
      </c>
      <c r="H53" s="7" t="n">
        <f aca="false">C53-G53</f>
        <v>74.54</v>
      </c>
      <c r="I53" s="6" t="n">
        <v>49.461</v>
      </c>
      <c r="J53" s="9" t="n">
        <v>1.08</v>
      </c>
      <c r="K53" s="9" t="n">
        <v>1.23</v>
      </c>
      <c r="L53" s="10" t="n">
        <f aca="false">E53/C53</f>
        <v>0.59133554880016</v>
      </c>
      <c r="M53" s="10" t="n">
        <f aca="false">H53/C53</f>
        <v>0.195510138777052</v>
      </c>
      <c r="N53" s="11" t="n">
        <f aca="false">IF(ISNUMBER(I53),I53/C53,"n/m")</f>
        <v>0.129730707996401</v>
      </c>
      <c r="O53" s="7" t="n">
        <f aca="false">SUM(C50:C53)</f>
        <v>1833.33</v>
      </c>
      <c r="P53" s="10" t="n">
        <f aca="false">SUM(H50:H53)/O53</f>
        <v>0.25964610844747</v>
      </c>
      <c r="Q53" s="12" t="n">
        <f aca="false">SUM(J50:J53)</f>
        <v>4.2</v>
      </c>
      <c r="R53" s="12" t="n">
        <f aca="false">SUM(K50:K53)</f>
        <v>6.67</v>
      </c>
      <c r="S53" s="9" t="n">
        <v>100.55</v>
      </c>
      <c r="T53" s="13" t="n">
        <f aca="false">IF(Q53&gt;0,S53/Q53,"n/m")</f>
        <v>23.9404761904762</v>
      </c>
      <c r="U53" s="13" t="n">
        <f aca="false">IF(R53&gt;0,S53/R53,"n/m")</f>
        <v>15.0749625187406</v>
      </c>
      <c r="V53" s="2" t="s">
        <v>56</v>
      </c>
    </row>
    <row r="54" customFormat="false" ht="15" hidden="false" customHeight="false" outlineLevel="0" collapsed="false">
      <c r="A54" s="4" t="s">
        <v>91</v>
      </c>
      <c r="B54" s="5" t="n">
        <v>43465</v>
      </c>
      <c r="C54" s="6" t="n">
        <v>771.406</v>
      </c>
      <c r="D54" s="10" t="n">
        <f aca="false">C54/C50-1</f>
        <v>0.428447626154795</v>
      </c>
      <c r="E54" s="6" t="n">
        <v>430.636</v>
      </c>
      <c r="F54" s="7" t="n">
        <f aca="false">G54-E54</f>
        <v>90.564</v>
      </c>
      <c r="G54" s="6" t="n">
        <v>521.2</v>
      </c>
      <c r="H54" s="7" t="n">
        <f aca="false">C54-G54</f>
        <v>250.206</v>
      </c>
      <c r="I54" s="6" t="n">
        <v>163.305</v>
      </c>
      <c r="J54" s="9" t="n">
        <v>3.67</v>
      </c>
      <c r="K54" s="9" t="n">
        <v>3.93</v>
      </c>
      <c r="L54" s="10" t="n">
        <f aca="false">E54/C54</f>
        <v>0.558248185780251</v>
      </c>
      <c r="M54" s="10" t="n">
        <f aca="false">H54/C54</f>
        <v>0.324350601369447</v>
      </c>
      <c r="N54" s="11" t="n">
        <f aca="false">IF(ISNUMBER(I54),I54/C54,"n/m")</f>
        <v>0.21169786078926</v>
      </c>
      <c r="O54" s="7" t="n">
        <f aca="false">SUM(C51:C54)</f>
        <v>2064.705</v>
      </c>
      <c r="P54" s="10" t="n">
        <f aca="false">SUM(H51:H54)/O54</f>
        <v>0.262544528152932</v>
      </c>
      <c r="Q54" s="12" t="n">
        <f aca="false">SUM(J51:J54)</f>
        <v>8.37</v>
      </c>
      <c r="R54" s="12" t="n">
        <f aca="false">SUM(K51:K54)</f>
        <v>9.05</v>
      </c>
      <c r="S54" s="9" t="n">
        <v>71.56</v>
      </c>
      <c r="T54" s="13" t="n">
        <f aca="false">IF(Q54&gt;0,S54/Q54,"n/m")</f>
        <v>8.54958183990442</v>
      </c>
      <c r="U54" s="13" t="n">
        <f aca="false">IF(R54&gt;0,S54/R54,"n/m")</f>
        <v>7.90718232044199</v>
      </c>
      <c r="V54" s="2" t="s">
        <v>59</v>
      </c>
    </row>
    <row r="55" customFormat="false" ht="15" hidden="false" customHeight="false" outlineLevel="0" collapsed="false">
      <c r="A55" s="4" t="s">
        <v>92</v>
      </c>
      <c r="B55" s="5" t="n">
        <v>43555</v>
      </c>
      <c r="C55" s="6" t="n">
        <v>415.327</v>
      </c>
      <c r="D55" s="10" t="n">
        <f aca="false">C55/C51-1</f>
        <v>-0.104054896529706</v>
      </c>
      <c r="E55" s="6" t="n">
        <v>247.632</v>
      </c>
      <c r="F55" s="7" t="n">
        <f aca="false">G55-E55</f>
        <v>83.885</v>
      </c>
      <c r="G55" s="6" t="n">
        <v>331.517</v>
      </c>
      <c r="H55" s="7" t="n">
        <f aca="false">C55-G55</f>
        <v>83.81</v>
      </c>
      <c r="I55" s="6" t="n">
        <v>67.232</v>
      </c>
      <c r="J55" s="9" t="n">
        <v>1.52</v>
      </c>
      <c r="K55" s="9" t="n">
        <v>1.66</v>
      </c>
      <c r="L55" s="10" t="n">
        <f aca="false">E55/C55</f>
        <v>0.596233810948963</v>
      </c>
      <c r="M55" s="10" t="n">
        <f aca="false">H55/C55</f>
        <v>0.201792804224141</v>
      </c>
      <c r="N55" s="11" t="n">
        <f aca="false">IF(ISNUMBER(I55),I55/C55,"n/m")</f>
        <v>0.161877267791403</v>
      </c>
      <c r="O55" s="7" t="n">
        <f aca="false">SUM(C52:C55)</f>
        <v>2016.469</v>
      </c>
      <c r="P55" s="10" t="n">
        <f aca="false">SUM(H52:H55)/O55</f>
        <v>0.254572720929506</v>
      </c>
      <c r="Q55" s="12" t="n">
        <f aca="false">SUM(J52:J55)</f>
        <v>7.79</v>
      </c>
      <c r="R55" s="12" t="n">
        <f aca="false">SUM(K52:K55)</f>
        <v>8.47</v>
      </c>
      <c r="S55" s="9" t="n">
        <v>91</v>
      </c>
      <c r="T55" s="13" t="n">
        <f aca="false">IF(Q55&gt;0,S55/Q55,"n/m")</f>
        <v>11.6816431322208</v>
      </c>
      <c r="U55" s="13" t="n">
        <f aca="false">IF(R55&gt;0,S55/R55,"n/m")</f>
        <v>10.7438016528926</v>
      </c>
      <c r="V55" s="2" t="s">
        <v>56</v>
      </c>
    </row>
    <row r="56" customFormat="false" ht="15" hidden="false" customHeight="false" outlineLevel="0" collapsed="false">
      <c r="A56" s="4" t="s">
        <v>93</v>
      </c>
      <c r="B56" s="5" t="n">
        <v>43646</v>
      </c>
      <c r="C56" s="6" t="n">
        <v>531.046</v>
      </c>
      <c r="D56" s="10" t="n">
        <f aca="false">C56/C52-1</f>
        <v>0.184109775975134</v>
      </c>
      <c r="E56" s="6" t="n">
        <v>314.323</v>
      </c>
      <c r="F56" s="7" t="n">
        <f aca="false">G56-E56</f>
        <v>89.889</v>
      </c>
      <c r="G56" s="6" t="n">
        <v>404.212</v>
      </c>
      <c r="H56" s="7" t="n">
        <f aca="false">C56-G56</f>
        <v>126.834</v>
      </c>
      <c r="I56" s="6" t="n">
        <v>81.742</v>
      </c>
      <c r="J56" s="9" t="n">
        <v>1.88</v>
      </c>
      <c r="K56" s="9" t="n">
        <v>2.07</v>
      </c>
      <c r="L56" s="10" t="n">
        <f aca="false">E56/C56</f>
        <v>0.591894110867985</v>
      </c>
      <c r="M56" s="10" t="n">
        <f aca="false">H56/C56</f>
        <v>0.238838066758812</v>
      </c>
      <c r="N56" s="11" t="n">
        <f aca="false">IF(ISNUMBER(I56),I56/C56,"n/m")</f>
        <v>0.15392640185596</v>
      </c>
      <c r="O56" s="7" t="n">
        <f aca="false">SUM(C53:C56)</f>
        <v>2099.038</v>
      </c>
      <c r="P56" s="10" t="n">
        <f aca="false">SUM(H53:H56)/O56</f>
        <v>0.255064462863464</v>
      </c>
      <c r="Q56" s="12" t="n">
        <f aca="false">SUM(J53:J56)</f>
        <v>8.15</v>
      </c>
      <c r="R56" s="12" t="n">
        <f aca="false">SUM(K53:K56)</f>
        <v>8.89</v>
      </c>
      <c r="S56" s="9" t="n">
        <v>88.57</v>
      </c>
      <c r="T56" s="13" t="n">
        <f aca="false">IF(Q56&gt;0,S56/Q56,"n/m")</f>
        <v>10.8674846625767</v>
      </c>
      <c r="U56" s="13" t="n">
        <f aca="false">IF(R56&gt;0,S56/R56,"n/m")</f>
        <v>9.96287964004499</v>
      </c>
      <c r="V56" s="2" t="s">
        <v>56</v>
      </c>
    </row>
    <row r="57" customFormat="false" ht="15" hidden="false" customHeight="false" outlineLevel="0" collapsed="false">
      <c r="A57" s="4" t="s">
        <v>94</v>
      </c>
      <c r="B57" s="5" t="n">
        <v>43738</v>
      </c>
      <c r="C57" s="6" t="n">
        <v>402.198</v>
      </c>
      <c r="D57" s="10" t="n">
        <f aca="false">C57/C53-1</f>
        <v>0.0549206707251499</v>
      </c>
      <c r="E57" s="6" t="n">
        <v>241.702</v>
      </c>
      <c r="F57" s="7" t="n">
        <f aca="false">G57-E57</f>
        <v>90.152</v>
      </c>
      <c r="G57" s="6" t="n">
        <v>331.854</v>
      </c>
      <c r="H57" s="7" t="n">
        <f aca="false">C57-G57</f>
        <v>70.344</v>
      </c>
      <c r="I57" s="6" t="n">
        <v>43.278</v>
      </c>
      <c r="J57" s="9" t="n">
        <v>1.01</v>
      </c>
      <c r="K57" s="9" t="n">
        <v>1.26</v>
      </c>
      <c r="L57" s="10" t="n">
        <f aca="false">E57/C57</f>
        <v>0.60095276455875</v>
      </c>
      <c r="M57" s="10" t="n">
        <f aca="false">H57/C57</f>
        <v>0.174898930377575</v>
      </c>
      <c r="N57" s="11" t="n">
        <f aca="false">IF(ISNUMBER(I57),I57/C57,"n/m")</f>
        <v>0.107603717571942</v>
      </c>
      <c r="O57" s="7" t="n">
        <f aca="false">SUM(C54:C57)</f>
        <v>2119.977</v>
      </c>
      <c r="P57" s="10" t="n">
        <f aca="false">SUM(H54:H57)/O57</f>
        <v>0.250565925951083</v>
      </c>
      <c r="Q57" s="12" t="n">
        <f aca="false">SUM(J54:J57)</f>
        <v>8.08</v>
      </c>
      <c r="R57" s="12" t="n">
        <f aca="false">SUM(K54:K57)</f>
        <v>8.92</v>
      </c>
      <c r="S57" s="9" t="n">
        <v>80.1</v>
      </c>
      <c r="T57" s="13" t="n">
        <f aca="false">IF(Q57&gt;0,S57/Q57,"n/m")</f>
        <v>9.91336633663366</v>
      </c>
      <c r="U57" s="13" t="n">
        <f aca="false">IF(R57&gt;0,S57/R57,"n/m")</f>
        <v>8.97982062780269</v>
      </c>
      <c r="V57" s="2" t="s">
        <v>56</v>
      </c>
    </row>
    <row r="58" customFormat="false" ht="15" hidden="false" customHeight="false" outlineLevel="0" collapsed="false">
      <c r="A58" s="4" t="s">
        <v>95</v>
      </c>
      <c r="B58" s="5" t="n">
        <v>43830</v>
      </c>
      <c r="C58" s="6" t="n">
        <v>660.127</v>
      </c>
      <c r="D58" s="10" t="n">
        <f aca="false">C58/C54-1</f>
        <v>-0.144254776343456</v>
      </c>
      <c r="E58" s="6" t="n">
        <v>397.32</v>
      </c>
      <c r="F58" s="7" t="n">
        <f aca="false">G58-E58</f>
        <v>106.084</v>
      </c>
      <c r="G58" s="6" t="n">
        <v>503.404</v>
      </c>
      <c r="H58" s="7" t="n">
        <f aca="false">C58-G58</f>
        <v>156.723</v>
      </c>
      <c r="I58" s="6" t="n">
        <v>105.184</v>
      </c>
      <c r="J58" s="9" t="n">
        <v>2.48</v>
      </c>
      <c r="K58" s="9" t="n">
        <v>2.72</v>
      </c>
      <c r="L58" s="10" t="n">
        <f aca="false">E58/C58</f>
        <v>0.60188418289208</v>
      </c>
      <c r="M58" s="10" t="n">
        <f aca="false">H58/C58</f>
        <v>0.237413406814143</v>
      </c>
      <c r="N58" s="11" t="n">
        <f aca="false">IF(ISNUMBER(I58),I58/C58,"n/m")</f>
        <v>0.159339036276353</v>
      </c>
      <c r="O58" s="7" t="n">
        <f aca="false">SUM(C55:C58)</f>
        <v>2008.698</v>
      </c>
      <c r="P58" s="10" t="n">
        <f aca="false">SUM(H55:H58)/O58</f>
        <v>0.217907818895623</v>
      </c>
      <c r="Q58" s="12" t="n">
        <f aca="false">SUM(J55:J58)</f>
        <v>6.89</v>
      </c>
      <c r="R58" s="12" t="n">
        <f aca="false">SUM(K55:K58)</f>
        <v>7.71</v>
      </c>
      <c r="S58" s="9" t="n">
        <v>74.76</v>
      </c>
      <c r="T58" s="13" t="n">
        <f aca="false">IF(Q58&gt;0,S58/Q58,"n/m")</f>
        <v>10.8505079825835</v>
      </c>
      <c r="U58" s="13" t="n">
        <f aca="false">IF(R58&gt;0,S58/R58,"n/m")</f>
        <v>9.69649805447471</v>
      </c>
      <c r="V58" s="2" t="s">
        <v>59</v>
      </c>
    </row>
    <row r="59" customFormat="false" ht="15" hidden="false" customHeight="false" outlineLevel="0" collapsed="false">
      <c r="A59" s="4" t="s">
        <v>96</v>
      </c>
      <c r="B59" s="5" t="n">
        <v>43921</v>
      </c>
      <c r="C59" s="6" t="n">
        <v>427.007</v>
      </c>
      <c r="D59" s="10" t="n">
        <f aca="false">C59/C55-1</f>
        <v>0.0281224192022189</v>
      </c>
      <c r="E59" s="6" t="n">
        <v>270.742</v>
      </c>
      <c r="F59" s="7" t="n">
        <f aca="false">G59-E59</f>
        <v>106.962</v>
      </c>
      <c r="G59" s="6" t="n">
        <v>377.704</v>
      </c>
      <c r="H59" s="7" t="n">
        <f aca="false">C59-G59</f>
        <v>49.303</v>
      </c>
      <c r="I59" s="6" t="n">
        <v>31.175</v>
      </c>
      <c r="J59" s="9" t="n">
        <v>0.74</v>
      </c>
      <c r="K59" s="9" t="n">
        <v>1.21</v>
      </c>
      <c r="L59" s="10" t="n">
        <f aca="false">E59/C59</f>
        <v>0.634045811895355</v>
      </c>
      <c r="M59" s="10" t="n">
        <f aca="false">H59/C59</f>
        <v>0.115461807417677</v>
      </c>
      <c r="N59" s="11" t="n">
        <f aca="false">IF(ISNUMBER(I59),I59/C59,"n/m")</f>
        <v>0.0730081708262394</v>
      </c>
      <c r="O59" s="7" t="n">
        <f aca="false">SUM(C56:C59)</f>
        <v>2020.378</v>
      </c>
      <c r="P59" s="10" t="n">
        <f aca="false">SUM(H56:H59)/O59</f>
        <v>0.199568595579639</v>
      </c>
      <c r="Q59" s="12" t="n">
        <f aca="false">SUM(J56:J59)</f>
        <v>6.11</v>
      </c>
      <c r="R59" s="12" t="n">
        <f aca="false">SUM(K56:K59)</f>
        <v>7.26</v>
      </c>
      <c r="S59" s="9" t="n">
        <v>46.06</v>
      </c>
      <c r="T59" s="13" t="n">
        <f aca="false">IF(Q59&gt;0,S59/Q59,"n/m")</f>
        <v>7.53846153846154</v>
      </c>
      <c r="U59" s="13" t="n">
        <f aca="false">IF(R59&gt;0,S59/R59,"n/m")</f>
        <v>6.34435261707989</v>
      </c>
      <c r="V59" s="2" t="s">
        <v>56</v>
      </c>
    </row>
    <row r="60" customFormat="false" ht="15" hidden="false" customHeight="false" outlineLevel="0" collapsed="false">
      <c r="A60" s="4" t="s">
        <v>97</v>
      </c>
      <c r="B60" s="5" t="n">
        <v>44012</v>
      </c>
      <c r="C60" s="6" t="n">
        <v>507.075</v>
      </c>
      <c r="D60" s="10" t="n">
        <f aca="false">C60/C56-1</f>
        <v>-0.045139215811813</v>
      </c>
      <c r="E60" s="6" t="n">
        <v>334.046</v>
      </c>
      <c r="F60" s="7" t="n">
        <f aca="false">G60-E60</f>
        <v>86.3</v>
      </c>
      <c r="G60" s="6" t="n">
        <v>420.346</v>
      </c>
      <c r="H60" s="7" t="n">
        <f aca="false">C60-G60</f>
        <v>86.729</v>
      </c>
      <c r="I60" s="6" t="n">
        <v>56.412</v>
      </c>
      <c r="J60" s="9" t="n">
        <v>1.35</v>
      </c>
      <c r="K60" s="9" t="n">
        <v>1.53</v>
      </c>
      <c r="L60" s="10" t="n">
        <f aca="false">E60/C60</f>
        <v>0.658770398856185</v>
      </c>
      <c r="M60" s="10" t="n">
        <f aca="false">H60/C60</f>
        <v>0.171037814918898</v>
      </c>
      <c r="N60" s="11" t="n">
        <f aca="false">IF(ISNUMBER(I60),I60/C60,"n/m")</f>
        <v>0.111249815116107</v>
      </c>
      <c r="O60" s="7" t="n">
        <f aca="false">SUM(C57:C60)</f>
        <v>1996.407</v>
      </c>
      <c r="P60" s="10" t="n">
        <f aca="false">SUM(H57:H60)/O60</f>
        <v>0.181876240666357</v>
      </c>
      <c r="Q60" s="12" t="n">
        <f aca="false">SUM(J57:J60)</f>
        <v>5.58</v>
      </c>
      <c r="R60" s="12" t="n">
        <f aca="false">SUM(K57:K60)</f>
        <v>6.72</v>
      </c>
      <c r="S60" s="9" t="n">
        <v>58.92</v>
      </c>
      <c r="T60" s="13" t="n">
        <f aca="false">IF(Q60&gt;0,S60/Q60,"n/m")</f>
        <v>10.5591397849462</v>
      </c>
      <c r="U60" s="13" t="n">
        <f aca="false">IF(R60&gt;0,S60/R60,"n/m")</f>
        <v>8.76785714285714</v>
      </c>
      <c r="V60" s="2" t="s">
        <v>56</v>
      </c>
    </row>
    <row r="61" customFormat="false" ht="15" hidden="false" customHeight="false" outlineLevel="0" collapsed="false">
      <c r="A61" s="4" t="s">
        <v>98</v>
      </c>
      <c r="B61" s="5" t="n">
        <v>44104</v>
      </c>
      <c r="C61" s="6" t="n">
        <v>402.515</v>
      </c>
      <c r="D61" s="10" t="n">
        <f aca="false">C61/C57-1</f>
        <v>0.00078816901128298</v>
      </c>
      <c r="E61" s="6" t="n">
        <v>259.812</v>
      </c>
      <c r="F61" s="7" t="n">
        <f aca="false">G61-E61</f>
        <v>79.017</v>
      </c>
      <c r="G61" s="6" t="n">
        <v>338.829</v>
      </c>
      <c r="H61" s="7" t="n">
        <f aca="false">C61-G61</f>
        <v>63.686</v>
      </c>
      <c r="I61" s="6" t="n">
        <v>42.61</v>
      </c>
      <c r="J61" s="9" t="n">
        <v>1.01</v>
      </c>
      <c r="K61" s="9" t="n">
        <v>1.11</v>
      </c>
      <c r="L61" s="10" t="n">
        <f aca="false">E61/C61</f>
        <v>0.645471597331777</v>
      </c>
      <c r="M61" s="10" t="n">
        <f aca="false">H61/C61</f>
        <v>0.158220190551905</v>
      </c>
      <c r="N61" s="11" t="n">
        <f aca="false">IF(ISNUMBER(I61),I61/C61,"n/m")</f>
        <v>0.105859408966125</v>
      </c>
      <c r="O61" s="7" t="n">
        <f aca="false">SUM(C58:C61)</f>
        <v>1996.724</v>
      </c>
      <c r="P61" s="10" t="n">
        <f aca="false">SUM(H58:H61)/O61</f>
        <v>0.178512904136976</v>
      </c>
      <c r="Q61" s="12" t="n">
        <f aca="false">SUM(J58:J61)</f>
        <v>5.58</v>
      </c>
      <c r="R61" s="12" t="n">
        <f aca="false">SUM(K58:K61)</f>
        <v>6.57</v>
      </c>
      <c r="S61" s="9" t="n">
        <v>65.46</v>
      </c>
      <c r="T61" s="13" t="n">
        <f aca="false">IF(Q61&gt;0,S61/Q61,"n/m")</f>
        <v>11.7311827956989</v>
      </c>
      <c r="U61" s="13" t="n">
        <f aca="false">IF(R61&gt;0,S61/R61,"n/m")</f>
        <v>9.9634703196347</v>
      </c>
      <c r="V61" s="2" t="s">
        <v>56</v>
      </c>
    </row>
    <row r="62" customFormat="false" ht="15" hidden="false" customHeight="false" outlineLevel="0" collapsed="false">
      <c r="A62" s="4" t="s">
        <v>99</v>
      </c>
      <c r="B62" s="5" t="n">
        <v>44196</v>
      </c>
      <c r="C62" s="6" t="n">
        <v>927.308</v>
      </c>
      <c r="D62" s="10" t="n">
        <f aca="false">C62/C58-1</f>
        <v>0.404741814832601</v>
      </c>
      <c r="E62" s="6" t="n">
        <v>507.739</v>
      </c>
      <c r="F62" s="7" t="n">
        <f aca="false">G62-E62</f>
        <v>92.854</v>
      </c>
      <c r="G62" s="6" t="n">
        <v>600.593</v>
      </c>
      <c r="H62" s="7" t="n">
        <f aca="false">C62-G62</f>
        <v>326.715</v>
      </c>
      <c r="I62" s="6" t="n">
        <v>220.377</v>
      </c>
      <c r="J62" s="9" t="n">
        <v>5.02</v>
      </c>
      <c r="K62" s="9" t="n">
        <v>5.67</v>
      </c>
      <c r="L62" s="10" t="n">
        <f aca="false">E62/C62</f>
        <v>0.547540838642609</v>
      </c>
      <c r="M62" s="10" t="n">
        <f aca="false">H62/C62</f>
        <v>0.352326303666096</v>
      </c>
      <c r="N62" s="11" t="n">
        <f aca="false">IF(ISNUMBER(I62),I62/C62,"n/m")</f>
        <v>0.237652430476174</v>
      </c>
      <c r="O62" s="7" t="n">
        <f aca="false">SUM(C59:C62)</f>
        <v>2263.905</v>
      </c>
      <c r="P62" s="10" t="n">
        <f aca="false">SUM(H59:H62)/O62</f>
        <v>0.232533167248626</v>
      </c>
      <c r="Q62" s="12" t="n">
        <f aca="false">SUM(J59:J62)</f>
        <v>8.12</v>
      </c>
      <c r="R62" s="12" t="n">
        <f aca="false">SUM(K59:K62)</f>
        <v>9.52</v>
      </c>
      <c r="S62" s="9" t="n">
        <v>109.64</v>
      </c>
      <c r="T62" s="13" t="n">
        <f aca="false">IF(Q62&gt;0,S62/Q62,"n/m")</f>
        <v>13.5024630541872</v>
      </c>
      <c r="U62" s="13" t="n">
        <f aca="false">IF(R62&gt;0,S62/R62,"n/m")</f>
        <v>11.5168067226891</v>
      </c>
      <c r="V62" s="2" t="s">
        <v>59</v>
      </c>
    </row>
    <row r="63" customFormat="false" ht="15" hidden="false" customHeight="false" outlineLevel="0" collapsed="false">
      <c r="A63" s="4" t="s">
        <v>100</v>
      </c>
      <c r="B63" s="5" t="n">
        <v>44286</v>
      </c>
      <c r="C63" s="6" t="n">
        <v>662.31</v>
      </c>
      <c r="D63" s="10" t="n">
        <f aca="false">C63/C59-1</f>
        <v>0.551051856292754</v>
      </c>
      <c r="E63" s="6" t="n">
        <v>395.39</v>
      </c>
      <c r="F63" s="7" t="n">
        <f aca="false">G63-E63</f>
        <v>72.712</v>
      </c>
      <c r="G63" s="6" t="n">
        <v>468.102</v>
      </c>
      <c r="H63" s="7" t="n">
        <f aca="false">C63-G63</f>
        <v>194.208</v>
      </c>
      <c r="I63" s="6" t="n">
        <v>144.352</v>
      </c>
      <c r="J63" s="9" t="n">
        <v>3.25</v>
      </c>
      <c r="K63" s="9" t="n">
        <v>3.29</v>
      </c>
      <c r="L63" s="10" t="n">
        <f aca="false">E63/C63</f>
        <v>0.596986305506485</v>
      </c>
      <c r="M63" s="10" t="n">
        <f aca="false">H63/C63</f>
        <v>0.293228246591475</v>
      </c>
      <c r="N63" s="11" t="n">
        <f aca="false">IF(ISNUMBER(I63),I63/C63,"n/m")</f>
        <v>0.217952318400749</v>
      </c>
      <c r="O63" s="7" t="n">
        <f aca="false">SUM(C60:C63)</f>
        <v>2499.208</v>
      </c>
      <c r="P63" s="10" t="n">
        <f aca="false">SUM(H60:H63)/O63</f>
        <v>0.268620298910695</v>
      </c>
      <c r="Q63" s="12" t="n">
        <f aca="false">SUM(J60:J63)</f>
        <v>10.63</v>
      </c>
      <c r="R63" s="12" t="n">
        <f aca="false">SUM(K60:K63)</f>
        <v>11.6</v>
      </c>
      <c r="S63" s="9" t="n">
        <v>131.74</v>
      </c>
      <c r="T63" s="13" t="n">
        <f aca="false">IF(Q63&gt;0,S63/Q63,"n/m")</f>
        <v>12.3932267168391</v>
      </c>
      <c r="U63" s="13" t="n">
        <f aca="false">IF(R63&gt;0,S63/R63,"n/m")</f>
        <v>11.3568965517241</v>
      </c>
      <c r="V63" s="2" t="s">
        <v>56</v>
      </c>
    </row>
    <row r="64" customFormat="false" ht="15" hidden="false" customHeight="false" outlineLevel="0" collapsed="false">
      <c r="A64" s="4" t="s">
        <v>101</v>
      </c>
      <c r="B64" s="5" t="n">
        <v>44377</v>
      </c>
      <c r="C64" s="6" t="n">
        <v>687.865</v>
      </c>
      <c r="D64" s="10" t="n">
        <f aca="false">C64/C60-1</f>
        <v>0.356535029334911</v>
      </c>
      <c r="E64" s="6" t="n">
        <v>407.798</v>
      </c>
      <c r="F64" s="7" t="n">
        <f aca="false">G64-E64</f>
        <v>73.054</v>
      </c>
      <c r="G64" s="6" t="n">
        <v>480.852</v>
      </c>
      <c r="H64" s="7" t="n">
        <f aca="false">C64-G64</f>
        <v>207.013</v>
      </c>
      <c r="I64" s="6" t="n">
        <v>140.359</v>
      </c>
      <c r="J64" s="9" t="n">
        <v>3.21</v>
      </c>
      <c r="K64" s="9" t="n">
        <v>3.17</v>
      </c>
      <c r="L64" s="10" t="n">
        <f aca="false">E64/C64</f>
        <v>0.592845979952462</v>
      </c>
      <c r="M64" s="10" t="n">
        <f aca="false">H64/C64</f>
        <v>0.300950041069105</v>
      </c>
      <c r="N64" s="11" t="n">
        <f aca="false">IF(ISNUMBER(I64),I64/C64,"n/m")</f>
        <v>0.204050213341281</v>
      </c>
      <c r="O64" s="7" t="n">
        <f aca="false">SUM(C61:C64)</f>
        <v>2679.998</v>
      </c>
      <c r="P64" s="10" t="n">
        <f aca="false">SUM(H61:H64)/O64</f>
        <v>0.295381563717585</v>
      </c>
      <c r="Q64" s="12" t="n">
        <f aca="false">SUM(J61:J64)</f>
        <v>12.49</v>
      </c>
      <c r="R64" s="12" t="n">
        <f aca="false">SUM(K61:K64)</f>
        <v>13.24</v>
      </c>
      <c r="S64" s="9" t="n">
        <v>140.77</v>
      </c>
      <c r="T64" s="13" t="n">
        <f aca="false">IF(Q64&gt;0,S64/Q64,"n/m")</f>
        <v>11.2706164931946</v>
      </c>
      <c r="U64" s="13" t="n">
        <f aca="false">IF(R64&gt;0,S64/R64,"n/m")</f>
        <v>10.6321752265861</v>
      </c>
      <c r="V64" s="2" t="s">
        <v>56</v>
      </c>
    </row>
    <row r="65" customFormat="false" ht="15" hidden="false" customHeight="false" outlineLevel="0" collapsed="false">
      <c r="A65" s="4" t="s">
        <v>102</v>
      </c>
      <c r="B65" s="5" t="n">
        <v>44469</v>
      </c>
      <c r="C65" s="6" t="n">
        <v>823.555</v>
      </c>
      <c r="D65" s="10" t="n">
        <f aca="false">C65/C61-1</f>
        <v>1.04602312957281</v>
      </c>
      <c r="E65" s="6" t="n">
        <v>486.471</v>
      </c>
      <c r="F65" s="7" t="n">
        <f aca="false">G65-E65</f>
        <v>91.931</v>
      </c>
      <c r="G65" s="6" t="n">
        <v>578.402</v>
      </c>
      <c r="H65" s="7" t="n">
        <f aca="false">C65-G65</f>
        <v>245.153</v>
      </c>
      <c r="I65" s="6" t="n">
        <v>159.545</v>
      </c>
      <c r="J65" s="9" t="n">
        <v>3.74</v>
      </c>
      <c r="K65" s="9" t="n">
        <v>3.96</v>
      </c>
      <c r="L65" s="10" t="n">
        <f aca="false">E65/C65</f>
        <v>0.590696431932294</v>
      </c>
      <c r="M65" s="10" t="n">
        <f aca="false">H65/C65</f>
        <v>0.297676536479045</v>
      </c>
      <c r="N65" s="11" t="n">
        <f aca="false">IF(ISNUMBER(I65),I65/C65,"n/m")</f>
        <v>0.193727194905015</v>
      </c>
      <c r="O65" s="7" t="n">
        <f aca="false">SUM(C62:C65)</f>
        <v>3101.038</v>
      </c>
      <c r="P65" s="10" t="n">
        <f aca="false">SUM(H62:H65)/O65</f>
        <v>0.313794606838097</v>
      </c>
      <c r="Q65" s="12" t="n">
        <f aca="false">SUM(J62:J65)</f>
        <v>15.22</v>
      </c>
      <c r="R65" s="12" t="n">
        <f aca="false">SUM(K62:K65)</f>
        <v>16.09</v>
      </c>
      <c r="S65" s="9" t="n">
        <v>133.67</v>
      </c>
      <c r="T65" s="13" t="n">
        <f aca="false">IF(Q65&gt;0,S65/Q65,"n/m")</f>
        <v>8.78252299605782</v>
      </c>
      <c r="U65" s="13" t="n">
        <f aca="false">IF(R65&gt;0,S65/R65,"n/m")</f>
        <v>8.30764449968925</v>
      </c>
      <c r="V65" s="2" t="s">
        <v>56</v>
      </c>
    </row>
    <row r="66" customFormat="false" ht="15" hidden="false" customHeight="false" outlineLevel="0" collapsed="false">
      <c r="A66" s="4" t="s">
        <v>103</v>
      </c>
      <c r="B66" s="5" t="n">
        <v>44561</v>
      </c>
      <c r="C66" s="6" t="n">
        <v>1115.769</v>
      </c>
      <c r="D66" s="10" t="n">
        <f aca="false">C66/C62-1</f>
        <v>0.203234524020067</v>
      </c>
      <c r="E66" s="6" t="n">
        <v>559.098</v>
      </c>
      <c r="F66" s="7" t="n">
        <f aca="false">G66-E66</f>
        <v>100.607</v>
      </c>
      <c r="G66" s="6" t="n">
        <v>659.705</v>
      </c>
      <c r="H66" s="7" t="n">
        <f aca="false">C66-G66</f>
        <v>456.064</v>
      </c>
      <c r="I66" s="6" t="n">
        <v>295.744</v>
      </c>
      <c r="J66" s="9" t="n">
        <v>6.96</v>
      </c>
      <c r="K66" s="9" t="n">
        <v>7.15</v>
      </c>
      <c r="L66" s="10" t="n">
        <f aca="false">E66/C66</f>
        <v>0.50108759071098</v>
      </c>
      <c r="M66" s="10" t="n">
        <f aca="false">H66/C66</f>
        <v>0.408744103842283</v>
      </c>
      <c r="N66" s="11" t="n">
        <f aca="false">IF(ISNUMBER(I66),I66/C66,"n/m")</f>
        <v>0.265058448478135</v>
      </c>
      <c r="O66" s="7" t="n">
        <f aca="false">SUM(C63:C66)</f>
        <v>3289.499</v>
      </c>
      <c r="P66" s="10" t="n">
        <f aca="false">SUM(H63:H66)/O66</f>
        <v>0.335138572773544</v>
      </c>
      <c r="Q66" s="12" t="n">
        <f aca="false">SUM(J63:J66)</f>
        <v>17.16</v>
      </c>
      <c r="R66" s="12" t="n">
        <f aca="false">SUM(K63:K66)</f>
        <v>17.57</v>
      </c>
      <c r="S66" s="9" t="n">
        <v>135.85</v>
      </c>
      <c r="T66" s="13" t="n">
        <f aca="false">IF(Q66&gt;0,S66/Q66,"n/m")</f>
        <v>7.91666666666667</v>
      </c>
      <c r="U66" s="13" t="n">
        <f aca="false">IF(R66&gt;0,S66/R66,"n/m")</f>
        <v>7.73192942515652</v>
      </c>
      <c r="V66" s="2" t="s">
        <v>104</v>
      </c>
    </row>
    <row r="67" customFormat="false" ht="15" hidden="false" customHeight="false" outlineLevel="0" collapsed="false">
      <c r="A67" s="4" t="s">
        <v>105</v>
      </c>
      <c r="B67" s="5" t="n">
        <v>44651</v>
      </c>
      <c r="C67" s="6" t="n">
        <v>722.854</v>
      </c>
      <c r="D67" s="10" t="n">
        <f aca="false">C67/C63-1</f>
        <v>0.0914133864806512</v>
      </c>
      <c r="E67" s="6" t="n">
        <v>429.735</v>
      </c>
      <c r="F67" s="7" t="n">
        <f aca="false">G67-E67</f>
        <v>83.755</v>
      </c>
      <c r="G67" s="6" t="n">
        <v>513.49</v>
      </c>
      <c r="H67" s="7" t="n">
        <f aca="false">C67-G67</f>
        <v>209.364</v>
      </c>
      <c r="I67" s="6" t="n">
        <v>158.016</v>
      </c>
      <c r="J67" s="9" t="n">
        <v>3.79</v>
      </c>
      <c r="K67" s="9" t="n">
        <v>3.8</v>
      </c>
      <c r="L67" s="10" t="n">
        <f aca="false">E67/C67</f>
        <v>0.594497644060903</v>
      </c>
      <c r="M67" s="10" t="n">
        <f aca="false">H67/C67</f>
        <v>0.289635251378563</v>
      </c>
      <c r="N67" s="11" t="n">
        <f aca="false">IF(ISNUMBER(I67),I67/C67,"n/m")</f>
        <v>0.218600159921644</v>
      </c>
      <c r="O67" s="7" t="n">
        <f aca="false">SUM(C64:C67)</f>
        <v>3350.043</v>
      </c>
      <c r="P67" s="10" t="n">
        <f aca="false">SUM(H64:H67)/O67</f>
        <v>0.333605867148571</v>
      </c>
      <c r="Q67" s="12" t="n">
        <f aca="false">SUM(J64:J67)</f>
        <v>17.7</v>
      </c>
      <c r="R67" s="12" t="n">
        <f aca="false">SUM(K64:K67)</f>
        <v>18.08</v>
      </c>
      <c r="S67" s="9" t="n">
        <v>111.32</v>
      </c>
      <c r="T67" s="13" t="n">
        <f aca="false">IF(Q67&gt;0,S67/Q67,"n/m")</f>
        <v>6.28926553672316</v>
      </c>
      <c r="U67" s="13" t="n">
        <f aca="false">IF(R67&gt;0,S67/R67,"n/m")</f>
        <v>6.1570796460177</v>
      </c>
      <c r="V67" s="2" t="s">
        <v>56</v>
      </c>
    </row>
    <row r="68" customFormat="false" ht="15" hidden="false" customHeight="false" outlineLevel="0" collapsed="false">
      <c r="A68" s="4" t="s">
        <v>106</v>
      </c>
      <c r="B68" s="5" t="n">
        <v>44742</v>
      </c>
      <c r="C68" s="6" t="n">
        <v>630.917</v>
      </c>
      <c r="D68" s="10" t="n">
        <f aca="false">C68/C64-1</f>
        <v>-0.0827895008468231</v>
      </c>
      <c r="E68" s="6" t="n">
        <v>388.971</v>
      </c>
      <c r="F68" s="7" t="n">
        <f aca="false">G68-E68</f>
        <v>95.764</v>
      </c>
      <c r="G68" s="6" t="n">
        <v>484.735</v>
      </c>
      <c r="H68" s="7" t="n">
        <f aca="false">C68-G68</f>
        <v>146.182</v>
      </c>
      <c r="I68" s="6" t="n">
        <v>95.627</v>
      </c>
      <c r="J68" s="9" t="n">
        <v>2.33</v>
      </c>
      <c r="K68" s="9" t="n">
        <v>2.46</v>
      </c>
      <c r="L68" s="10" t="n">
        <f aca="false">E68/C68</f>
        <v>0.616516911099241</v>
      </c>
      <c r="M68" s="10" t="n">
        <f aca="false">H68/C68</f>
        <v>0.231697671801521</v>
      </c>
      <c r="N68" s="11" t="n">
        <f aca="false">IF(ISNUMBER(I68),I68/C68,"n/m")</f>
        <v>0.1515682728473</v>
      </c>
      <c r="O68" s="7" t="n">
        <f aca="false">SUM(C65:C68)</f>
        <v>3293.095</v>
      </c>
      <c r="P68" s="10" t="n">
        <f aca="false">SUM(H65:H68)/O68</f>
        <v>0.320902676661317</v>
      </c>
      <c r="Q68" s="12" t="n">
        <f aca="false">SUM(J65:J68)</f>
        <v>16.82</v>
      </c>
      <c r="R68" s="12" t="n">
        <f aca="false">SUM(K65:K68)</f>
        <v>17.37</v>
      </c>
      <c r="S68" s="9" t="n">
        <v>93.61</v>
      </c>
      <c r="T68" s="13" t="n">
        <f aca="false">IF(Q68&gt;0,S68/Q68,"n/m")</f>
        <v>5.5653983353151</v>
      </c>
      <c r="U68" s="13" t="n">
        <f aca="false">IF(R68&gt;0,S68/R68,"n/m")</f>
        <v>5.38917674150835</v>
      </c>
      <c r="V68" s="2" t="s">
        <v>56</v>
      </c>
    </row>
    <row r="69" customFormat="false" ht="15" hidden="false" customHeight="false" outlineLevel="0" collapsed="false">
      <c r="A69" s="4" t="s">
        <v>107</v>
      </c>
      <c r="B69" s="5" t="n">
        <v>44834</v>
      </c>
      <c r="C69" s="6" t="n">
        <v>576.937</v>
      </c>
      <c r="D69" s="10" t="n">
        <f aca="false">C69/C65-1</f>
        <v>-0.299455409778339</v>
      </c>
      <c r="E69" s="6" t="n">
        <v>355.794</v>
      </c>
      <c r="F69" s="7" t="n">
        <f aca="false">G69-E69</f>
        <v>90.744</v>
      </c>
      <c r="G69" s="6" t="n">
        <v>446.538</v>
      </c>
      <c r="H69" s="7" t="n">
        <f aca="false">C69-G69</f>
        <v>130.399</v>
      </c>
      <c r="I69" s="6" t="n">
        <v>82.438</v>
      </c>
      <c r="J69" s="9" t="n">
        <v>2.03</v>
      </c>
      <c r="K69" s="9" t="n">
        <v>2.2</v>
      </c>
      <c r="L69" s="10" t="n">
        <f aca="false">E69/C69</f>
        <v>0.616694717100827</v>
      </c>
      <c r="M69" s="10" t="n">
        <f aca="false">H69/C69</f>
        <v>0.226019478729913</v>
      </c>
      <c r="N69" s="11" t="n">
        <f aca="false">IF(ISNUMBER(I69),I69/C69,"n/m")</f>
        <v>0.142889084943417</v>
      </c>
      <c r="O69" s="7" t="n">
        <f aca="false">SUM(C66:C69)</f>
        <v>3046.477</v>
      </c>
      <c r="P69" s="10" t="n">
        <f aca="false">SUM(H66:H69)/O69</f>
        <v>0.309212575706299</v>
      </c>
      <c r="Q69" s="12" t="n">
        <f aca="false">SUM(J66:J69)</f>
        <v>15.11</v>
      </c>
      <c r="R69" s="12" t="n">
        <f aca="false">SUM(K66:K69)</f>
        <v>15.61</v>
      </c>
      <c r="S69" s="9" t="n">
        <v>82.25</v>
      </c>
      <c r="T69" s="13" t="n">
        <f aca="false">IF(Q69&gt;0,S69/Q69,"n/m")</f>
        <v>5.44341495698213</v>
      </c>
      <c r="U69" s="13" t="n">
        <f aca="false">IF(R69&gt;0,S69/R69,"n/m")</f>
        <v>5.26905829596413</v>
      </c>
      <c r="V69" s="2" t="s">
        <v>56</v>
      </c>
    </row>
    <row r="70" customFormat="false" ht="15" hidden="false" customHeight="false" outlineLevel="0" collapsed="false">
      <c r="A70" s="4" t="s">
        <v>108</v>
      </c>
      <c r="B70" s="5" t="n">
        <v>44926</v>
      </c>
      <c r="C70" s="6" t="n">
        <v>831.34</v>
      </c>
      <c r="D70" s="10" t="n">
        <f aca="false">C70/C66-1</f>
        <v>-0.25491746051378</v>
      </c>
      <c r="E70" s="6" t="n">
        <v>523.019</v>
      </c>
      <c r="F70" s="7" t="n">
        <f aca="false">G70-E70</f>
        <v>98.2240000000001</v>
      </c>
      <c r="G70" s="6" t="n">
        <v>621.243</v>
      </c>
      <c r="H70" s="7" t="n">
        <f aca="false">C70-G70</f>
        <v>210.097</v>
      </c>
      <c r="I70" s="6" t="n">
        <v>140.919</v>
      </c>
      <c r="J70" s="9" t="n">
        <v>3.44</v>
      </c>
      <c r="K70" s="9" t="n">
        <v>3.5</v>
      </c>
      <c r="L70" s="10" t="n">
        <f aca="false">E70/C70</f>
        <v>0.62912767339476</v>
      </c>
      <c r="M70" s="10" t="n">
        <f aca="false">H70/C70</f>
        <v>0.252720908412924</v>
      </c>
      <c r="N70" s="11" t="n">
        <f aca="false">IF(ISNUMBER(I70),I70/C70,"n/m")</f>
        <v>0.169508263766931</v>
      </c>
      <c r="O70" s="7" t="n">
        <f aca="false">SUM(C67:C70)</f>
        <v>2762.048</v>
      </c>
      <c r="P70" s="10" t="n">
        <f aca="false">SUM(H67:H70)/O70</f>
        <v>0.252002137544315</v>
      </c>
      <c r="Q70" s="12" t="n">
        <f aca="false">SUM(J67:J70)</f>
        <v>11.59</v>
      </c>
      <c r="R70" s="12" t="n">
        <f aca="false">SUM(K67:K70)</f>
        <v>11.96</v>
      </c>
      <c r="S70" s="9" t="n">
        <v>109.08</v>
      </c>
      <c r="T70" s="13" t="n">
        <f aca="false">IF(Q70&gt;0,S70/Q70,"n/m")</f>
        <v>9.41156169111303</v>
      </c>
      <c r="U70" s="13" t="n">
        <f aca="false">IF(R70&gt;0,S70/R70,"n/m")</f>
        <v>9.12040133779264</v>
      </c>
      <c r="V70" s="2" t="s">
        <v>104</v>
      </c>
    </row>
    <row r="71" customFormat="false" ht="15" hidden="false" customHeight="false" outlineLevel="0" collapsed="false">
      <c r="A71" s="4" t="s">
        <v>109</v>
      </c>
      <c r="B71" s="5" t="n">
        <v>45016</v>
      </c>
      <c r="C71" s="6" t="n">
        <v>572.143</v>
      </c>
      <c r="D71" s="10" t="n">
        <f aca="false">C71/C67-1</f>
        <v>-0.208494384758195</v>
      </c>
      <c r="E71" s="6" t="n">
        <v>366.872</v>
      </c>
      <c r="F71" s="7" t="n">
        <f aca="false">G71-E71</f>
        <v>98.367</v>
      </c>
      <c r="G71" s="6" t="n">
        <v>465.239</v>
      </c>
      <c r="H71" s="7" t="n">
        <f aca="false">C71-G71</f>
        <v>106.904</v>
      </c>
      <c r="I71" s="6" t="n">
        <v>83.378</v>
      </c>
      <c r="J71" s="9" t="n">
        <v>2.06</v>
      </c>
      <c r="K71" s="9" t="n">
        <v>2.16</v>
      </c>
      <c r="L71" s="10" t="n">
        <f aca="false">E71/C71</f>
        <v>0.641224309307289</v>
      </c>
      <c r="M71" s="10" t="n">
        <f aca="false">H71/C71</f>
        <v>0.186848392796906</v>
      </c>
      <c r="N71" s="11" t="n">
        <f aca="false">IF(ISNUMBER(I71),I71/C71,"n/m")</f>
        <v>0.145729301940249</v>
      </c>
      <c r="O71" s="7" t="n">
        <f aca="false">SUM(C68:C71)</f>
        <v>2611.337</v>
      </c>
      <c r="P71" s="10" t="n">
        <f aca="false">SUM(H68:H71)/O71</f>
        <v>0.227309611896128</v>
      </c>
      <c r="Q71" s="12" t="n">
        <f aca="false">SUM(J68:J71)</f>
        <v>9.86</v>
      </c>
      <c r="R71" s="12" t="n">
        <f aca="false">SUM(K68:K71)</f>
        <v>10.32</v>
      </c>
      <c r="S71" s="9" t="n">
        <v>115.38</v>
      </c>
      <c r="T71" s="13" t="n">
        <f aca="false">IF(Q71&gt;0,S71/Q71,"n/m")</f>
        <v>11.7018255578093</v>
      </c>
      <c r="U71" s="13" t="n">
        <f aca="false">IF(R71&gt;0,S71/R71,"n/m")</f>
        <v>11.1802325581395</v>
      </c>
      <c r="V71" s="2" t="s">
        <v>56</v>
      </c>
    </row>
    <row r="72" customFormat="false" ht="15" hidden="false" customHeight="false" outlineLevel="0" collapsed="false">
      <c r="A72" s="4" t="s">
        <v>110</v>
      </c>
      <c r="B72" s="5" t="n">
        <v>45107</v>
      </c>
      <c r="C72" s="6" t="n">
        <v>499.419</v>
      </c>
      <c r="D72" s="10" t="n">
        <f aca="false">C72/C68-1</f>
        <v>-0.208423611980657</v>
      </c>
      <c r="E72" s="6" t="n">
        <v>338.374</v>
      </c>
      <c r="F72" s="7" t="n">
        <f aca="false">G72-E72</f>
        <v>103.329</v>
      </c>
      <c r="G72" s="6" t="n">
        <v>441.703</v>
      </c>
      <c r="H72" s="7" t="n">
        <f aca="false">C72-G72</f>
        <v>57.716</v>
      </c>
      <c r="I72" s="6" t="n">
        <v>37.205</v>
      </c>
      <c r="J72" s="9" t="n">
        <v>0.95</v>
      </c>
      <c r="K72" s="9" t="n">
        <v>0.96</v>
      </c>
      <c r="L72" s="10" t="n">
        <f aca="false">E72/C72</f>
        <v>0.677535296013968</v>
      </c>
      <c r="M72" s="10" t="n">
        <f aca="false">H72/C72</f>
        <v>0.115566288026687</v>
      </c>
      <c r="N72" s="11" t="n">
        <f aca="false">IF(ISNUMBER(I72),I72/C72,"n/m")</f>
        <v>0.0744965650085399</v>
      </c>
      <c r="O72" s="7" t="n">
        <f aca="false">SUM(C69:C72)</f>
        <v>2479.839</v>
      </c>
      <c r="P72" s="10" t="n">
        <f aca="false">SUM(H69:H72)/O72</f>
        <v>0.203689029812016</v>
      </c>
      <c r="Q72" s="12" t="n">
        <f aca="false">SUM(J69:J72)</f>
        <v>8.48</v>
      </c>
      <c r="R72" s="12" t="n">
        <f aca="false">SUM(K69:K72)</f>
        <v>8.82</v>
      </c>
      <c r="S72" s="9" t="n">
        <v>123.59</v>
      </c>
      <c r="T72" s="13" t="n">
        <f aca="false">IF(Q72&gt;0,S72/Q72,"n/m")</f>
        <v>14.5742924528302</v>
      </c>
      <c r="U72" s="13" t="n">
        <f aca="false">IF(R72&gt;0,S72/R72,"n/m")</f>
        <v>14.0124716553288</v>
      </c>
      <c r="V72" s="2" t="s">
        <v>56</v>
      </c>
    </row>
    <row r="73" customFormat="false" ht="15" hidden="false" customHeight="false" outlineLevel="0" collapsed="false">
      <c r="A73" s="4" t="s">
        <v>111</v>
      </c>
      <c r="B73" s="5" t="n">
        <v>45199</v>
      </c>
      <c r="C73" s="6" t="n">
        <v>570.22</v>
      </c>
      <c r="D73" s="10" t="n">
        <f aca="false">C73/C69-1</f>
        <v>-0.0116425190272075</v>
      </c>
      <c r="E73" s="6" t="n">
        <v>391.73</v>
      </c>
      <c r="F73" s="7" t="n">
        <f aca="false">G73-E73</f>
        <v>101.664</v>
      </c>
      <c r="G73" s="6" t="n">
        <v>493.394</v>
      </c>
      <c r="H73" s="7" t="n">
        <f aca="false">C73-G73</f>
        <v>76.826</v>
      </c>
      <c r="I73" s="6" t="n">
        <v>52.148</v>
      </c>
      <c r="J73" s="9" t="n">
        <v>1.3</v>
      </c>
      <c r="K73" s="9" t="n">
        <v>1.3</v>
      </c>
      <c r="L73" s="10" t="n">
        <f aca="false">E73/C73</f>
        <v>0.686980463680685</v>
      </c>
      <c r="M73" s="10" t="n">
        <f aca="false">H73/C73</f>
        <v>0.134730454912139</v>
      </c>
      <c r="N73" s="11" t="n">
        <f aca="false">IF(ISNUMBER(I73),I73/C73,"n/m")</f>
        <v>0.0914524218722598</v>
      </c>
      <c r="O73" s="7" t="n">
        <f aca="false">SUM(C70:C73)</f>
        <v>2473.122</v>
      </c>
      <c r="P73" s="10" t="n">
        <f aca="false">SUM(H70:H73)/O73</f>
        <v>0.182580155770722</v>
      </c>
      <c r="Q73" s="12" t="n">
        <f aca="false">SUM(J70:J73)</f>
        <v>7.75</v>
      </c>
      <c r="R73" s="12" t="n">
        <f aca="false">SUM(K70:K73)</f>
        <v>7.92</v>
      </c>
      <c r="S73" s="9" t="n">
        <v>137.88</v>
      </c>
      <c r="T73" s="13" t="n">
        <f aca="false">IF(Q73&gt;0,S73/Q73,"n/m")</f>
        <v>17.7909677419355</v>
      </c>
      <c r="U73" s="13" t="n">
        <f aca="false">IF(R73&gt;0,S73/R73,"n/m")</f>
        <v>17.4090909090909</v>
      </c>
      <c r="V73" s="2" t="s">
        <v>56</v>
      </c>
    </row>
    <row r="74" customFormat="false" ht="15" hidden="false" customHeight="false" outlineLevel="0" collapsed="false">
      <c r="A74" s="4" t="s">
        <v>112</v>
      </c>
      <c r="B74" s="5" t="n">
        <v>45291</v>
      </c>
      <c r="C74" s="6" t="n">
        <v>784.167</v>
      </c>
      <c r="D74" s="10" t="n">
        <f aca="false">C74/C70-1</f>
        <v>-0.0567433300454687</v>
      </c>
      <c r="E74" s="6" t="n">
        <v>559.899</v>
      </c>
      <c r="F74" s="7" t="n">
        <f aca="false">G74-E74</f>
        <v>106.579</v>
      </c>
      <c r="G74" s="6" t="n">
        <v>666.478</v>
      </c>
      <c r="H74" s="7" t="n">
        <f aca="false">C74-G74</f>
        <v>117.689</v>
      </c>
      <c r="I74" s="6" t="n">
        <v>82.269</v>
      </c>
      <c r="J74" s="9" t="n">
        <v>2.03</v>
      </c>
      <c r="K74" s="9" t="n">
        <v>2.02</v>
      </c>
      <c r="L74" s="10" t="n">
        <f aca="false">E74/C74</f>
        <v>0.714004797447483</v>
      </c>
      <c r="M74" s="10" t="n">
        <f aca="false">H74/C74</f>
        <v>0.150081551506248</v>
      </c>
      <c r="N74" s="11" t="n">
        <f aca="false">IF(ISNUMBER(I74),I74/C74,"n/m")</f>
        <v>0.10491260152493</v>
      </c>
      <c r="O74" s="7" t="n">
        <f aca="false">SUM(C71:C74)</f>
        <v>2425.949</v>
      </c>
      <c r="P74" s="10" t="n">
        <f aca="false">SUM(H71:H74)/O74</f>
        <v>0.148038973614037</v>
      </c>
      <c r="Q74" s="12" t="n">
        <f aca="false">SUM(J71:J74)</f>
        <v>6.34</v>
      </c>
      <c r="R74" s="12" t="n">
        <f aca="false">SUM(K71:K74)</f>
        <v>6.44</v>
      </c>
      <c r="S74" s="9" t="n">
        <v>171.05</v>
      </c>
      <c r="T74" s="13" t="n">
        <f aca="false">IF(Q74&gt;0,S74/Q74,"n/m")</f>
        <v>26.9794952681388</v>
      </c>
      <c r="U74" s="13" t="n">
        <f aca="false">IF(R74&gt;0,S74/R74,"n/m")</f>
        <v>26.5605590062112</v>
      </c>
      <c r="V74" s="2" t="s">
        <v>104</v>
      </c>
    </row>
    <row r="75" customFormat="false" ht="15" hidden="false" customHeight="false" outlineLevel="0" collapsed="false">
      <c r="A75" s="4" t="s">
        <v>113</v>
      </c>
      <c r="B75" s="5" t="n">
        <v>45382</v>
      </c>
      <c r="C75" s="6" t="n">
        <v>580.815</v>
      </c>
      <c r="D75" s="10" t="n">
        <f aca="false">C75/C71-1</f>
        <v>0.0151570498983646</v>
      </c>
      <c r="E75" s="6" t="n">
        <v>387.705</v>
      </c>
      <c r="F75" s="7" t="n">
        <f aca="false">G75-E75</f>
        <v>108.99</v>
      </c>
      <c r="G75" s="6" t="n">
        <v>496.695</v>
      </c>
      <c r="H75" s="7" t="n">
        <f aca="false">C75-G75</f>
        <v>84.1200000000001</v>
      </c>
      <c r="I75" s="6" t="n">
        <v>85.693</v>
      </c>
      <c r="J75" s="9" t="n">
        <v>2.09</v>
      </c>
      <c r="K75" s="9" t="n">
        <v>2.13</v>
      </c>
      <c r="L75" s="10" t="n">
        <f aca="false">E75/C75</f>
        <v>0.667518917383332</v>
      </c>
      <c r="M75" s="10" t="n">
        <f aca="false">H75/C75</f>
        <v>0.144830970274528</v>
      </c>
      <c r="N75" s="11" t="n">
        <f aca="false">IF(ISNUMBER(I75),I75/C75,"n/m")</f>
        <v>0.147539233663042</v>
      </c>
      <c r="O75" s="7" t="n">
        <f aca="false">SUM(C72:C75)</f>
        <v>2434.621</v>
      </c>
      <c r="P75" s="10" t="n">
        <f aca="false">SUM(H72:H75)/O75</f>
        <v>0.138153330641607</v>
      </c>
      <c r="Q75" s="12" t="n">
        <f aca="false">SUM(J72:J75)</f>
        <v>6.37</v>
      </c>
      <c r="R75" s="12" t="n">
        <f aca="false">SUM(K72:K75)</f>
        <v>6.41</v>
      </c>
      <c r="S75" s="9" t="n">
        <v>192.59</v>
      </c>
      <c r="T75" s="13" t="n">
        <f aca="false">IF(Q75&gt;0,S75/Q75,"n/m")</f>
        <v>30.2339089481947</v>
      </c>
      <c r="U75" s="13" t="n">
        <f aca="false">IF(R75&gt;0,S75/R75,"n/m")</f>
        <v>30.0452418096724</v>
      </c>
      <c r="V75" s="2" t="s">
        <v>56</v>
      </c>
    </row>
    <row r="76" customFormat="false" ht="15" hidden="false" customHeight="false" outlineLevel="0" collapsed="false">
      <c r="A76" s="4" t="s">
        <v>114</v>
      </c>
      <c r="B76" s="5" t="n">
        <v>45473</v>
      </c>
      <c r="C76" s="6" t="n">
        <v>689.224</v>
      </c>
      <c r="D76" s="10" t="n">
        <f aca="false">C76/C72-1</f>
        <v>0.38005161998242</v>
      </c>
      <c r="E76" s="6" t="n">
        <v>458.935</v>
      </c>
      <c r="F76" s="7" t="n">
        <f aca="false">G76-E76</f>
        <v>122.046</v>
      </c>
      <c r="G76" s="6" t="n">
        <v>580.981</v>
      </c>
      <c r="H76" s="7" t="n">
        <f aca="false">C76-G76</f>
        <v>108.243</v>
      </c>
      <c r="I76" s="6" t="n">
        <v>73.758</v>
      </c>
      <c r="J76" s="9" t="n">
        <v>1.81</v>
      </c>
      <c r="K76" s="9" t="n">
        <v>1.81</v>
      </c>
      <c r="L76" s="10" t="n">
        <f aca="false">E76/C76</f>
        <v>0.665872053207665</v>
      </c>
      <c r="M76" s="10" t="n">
        <f aca="false">H76/C76</f>
        <v>0.157050537996355</v>
      </c>
      <c r="N76" s="11" t="n">
        <f aca="false">IF(ISNUMBER(I76),I76/C76,"n/m")</f>
        <v>0.107016006407206</v>
      </c>
      <c r="O76" s="7" t="n">
        <f aca="false">SUM(C73:C76)</f>
        <v>2624.426</v>
      </c>
      <c r="P76" s="10" t="n">
        <f aca="false">SUM(H73:H76)/O76</f>
        <v>0.14741432983822</v>
      </c>
      <c r="Q76" s="12" t="n">
        <f aca="false">SUM(J73:J76)</f>
        <v>7.23</v>
      </c>
      <c r="R76" s="12" t="n">
        <f aca="false">SUM(K73:K76)</f>
        <v>7.26</v>
      </c>
      <c r="S76" s="9" t="n">
        <v>208.43</v>
      </c>
      <c r="T76" s="13" t="n">
        <f aca="false">IF(Q76&gt;0,S76/Q76,"n/m")</f>
        <v>28.8284923928078</v>
      </c>
      <c r="U76" s="13" t="n">
        <f aca="false">IF(R76&gt;0,S76/R76,"n/m")</f>
        <v>28.7093663911846</v>
      </c>
      <c r="V76" s="2" t="s">
        <v>56</v>
      </c>
    </row>
    <row r="77" customFormat="false" ht="15" hidden="false" customHeight="false" outlineLevel="0" collapsed="false">
      <c r="A77" s="4" t="s">
        <v>115</v>
      </c>
      <c r="B77" s="5" t="n">
        <v>45565</v>
      </c>
      <c r="C77" s="6" t="n">
        <v>734.222</v>
      </c>
      <c r="D77" s="10" t="n">
        <f aca="false">C77/C73-1</f>
        <v>0.287611798954789</v>
      </c>
      <c r="E77" s="6" t="n">
        <v>488.01</v>
      </c>
      <c r="F77" s="7" t="n">
        <f aca="false">G77-E77</f>
        <v>124.219</v>
      </c>
      <c r="G77" s="6" t="n">
        <v>612.229</v>
      </c>
      <c r="H77" s="7" t="n">
        <f aca="false">C77-G77</f>
        <v>121.993</v>
      </c>
      <c r="I77" s="6" t="n">
        <v>78.393</v>
      </c>
      <c r="J77" s="9" t="n">
        <v>1.86</v>
      </c>
      <c r="K77" s="9" t="n">
        <v>2.04</v>
      </c>
      <c r="L77" s="10" t="n">
        <f aca="false">E77/C77</f>
        <v>0.664662731435451</v>
      </c>
      <c r="M77" s="10" t="n">
        <f aca="false">H77/C77</f>
        <v>0.166152743992961</v>
      </c>
      <c r="N77" s="11" t="n">
        <f aca="false">IF(ISNUMBER(I77),I77/C77,"n/m")</f>
        <v>0.106770159434068</v>
      </c>
      <c r="O77" s="7" t="n">
        <f aca="false">SUM(C74:C77)</f>
        <v>2788.428</v>
      </c>
      <c r="P77" s="10" t="n">
        <f aca="false">SUM(H74:H77)/O77</f>
        <v>0.154942139442008</v>
      </c>
      <c r="Q77" s="12" t="n">
        <f aca="false">SUM(J74:J77)</f>
        <v>7.79</v>
      </c>
      <c r="R77" s="12" t="n">
        <f aca="false">SUM(K74:K77)</f>
        <v>8</v>
      </c>
      <c r="S77" s="9" t="n">
        <v>253.34</v>
      </c>
      <c r="T77" s="13" t="n">
        <f aca="false">IF(Q77&gt;0,S77/Q77,"n/m")</f>
        <v>32.5211810012837</v>
      </c>
      <c r="U77" s="13" t="n">
        <f aca="false">IF(R77&gt;0,S77/R77,"n/m")</f>
        <v>31.6675</v>
      </c>
      <c r="V77" s="2" t="s">
        <v>56</v>
      </c>
    </row>
    <row r="78" customFormat="false" ht="15" hidden="false" customHeight="false" outlineLevel="0" collapsed="false">
      <c r="A78" s="4" t="s">
        <v>116</v>
      </c>
      <c r="B78" s="5" t="n">
        <v>45657</v>
      </c>
      <c r="C78" s="6" t="n">
        <v>975.332</v>
      </c>
      <c r="D78" s="10" t="n">
        <f aca="false">C78/C74-1</f>
        <v>0.243780980326895</v>
      </c>
      <c r="E78" s="6" t="n">
        <v>639.386</v>
      </c>
      <c r="F78" s="7" t="n">
        <f aca="false">G78-E78</f>
        <v>123.388</v>
      </c>
      <c r="G78" s="6" t="n">
        <v>762.774</v>
      </c>
      <c r="H78" s="7" t="n">
        <f aca="false">C78-G78</f>
        <v>212.558</v>
      </c>
      <c r="I78" s="6" t="n">
        <v>140.156</v>
      </c>
      <c r="J78" s="9" t="n">
        <v>3.3</v>
      </c>
      <c r="K78" s="9" t="n">
        <v>3.41</v>
      </c>
      <c r="L78" s="10" t="n">
        <f aca="false">E78/C78</f>
        <v>0.655557287159654</v>
      </c>
      <c r="M78" s="10" t="n">
        <f aca="false">H78/C78</f>
        <v>0.217933995808607</v>
      </c>
      <c r="N78" s="11" t="n">
        <f aca="false">IF(ISNUMBER(I78),I78/C78,"n/m")</f>
        <v>0.143700811621069</v>
      </c>
      <c r="O78" s="7" t="n">
        <f aca="false">SUM(C75:C78)</f>
        <v>2979.593</v>
      </c>
      <c r="P78" s="10" t="n">
        <f aca="false">SUM(H75:H78)/O78</f>
        <v>0.176840930959363</v>
      </c>
      <c r="Q78" s="12" t="n">
        <f aca="false">SUM(J75:J78)</f>
        <v>9.06</v>
      </c>
      <c r="R78" s="12" t="n">
        <f aca="false">SUM(K75:K78)</f>
        <v>9.39</v>
      </c>
      <c r="S78" s="9" t="n">
        <v>277.19</v>
      </c>
      <c r="T78" s="13" t="n">
        <f aca="false">IF(Q78&gt;0,S78/Q78,"n/m")</f>
        <v>30.5949227373068</v>
      </c>
      <c r="U78" s="13" t="n">
        <f aca="false">IF(R78&gt;0,S78/R78,"n/m")</f>
        <v>29.5197018104366</v>
      </c>
      <c r="V78" s="2" t="s">
        <v>104</v>
      </c>
    </row>
    <row r="79" customFormat="false" ht="15" hidden="false" customHeight="false" outlineLevel="0" collapsed="false">
      <c r="A79" s="4" t="s">
        <v>117</v>
      </c>
      <c r="B79" s="5" t="n">
        <v>45747</v>
      </c>
      <c r="C79" s="6" t="n">
        <v>694.829</v>
      </c>
      <c r="D79" s="10" t="n">
        <f aca="false">C79/C75-1</f>
        <v>0.196300026686638</v>
      </c>
      <c r="E79" s="6" t="n">
        <v>459.825</v>
      </c>
      <c r="F79" s="7" t="n">
        <f aca="false">G79-E79</f>
        <v>123.82</v>
      </c>
      <c r="G79" s="6" t="n">
        <v>583.645</v>
      </c>
      <c r="H79" s="7" t="n">
        <f aca="false">C79-G79</f>
        <v>111.184</v>
      </c>
      <c r="I79" s="6" t="n">
        <v>146.184</v>
      </c>
      <c r="J79" s="9" t="n">
        <v>3.48</v>
      </c>
      <c r="K79" s="9" t="n">
        <v>3.49</v>
      </c>
      <c r="L79" s="10" t="n">
        <f aca="false">E79/C79</f>
        <v>0.661781531858918</v>
      </c>
      <c r="M79" s="10" t="n">
        <f aca="false">H79/C79</f>
        <v>0.160016349346386</v>
      </c>
      <c r="N79" s="11" t="n">
        <f aca="false">IF(ISNUMBER(I79),I79/C79,"n/m")</f>
        <v>0.210388455288999</v>
      </c>
      <c r="O79" s="7" t="n">
        <f aca="false">SUM(C76:C79)</f>
        <v>3093.607</v>
      </c>
      <c r="P79" s="10" t="n">
        <f aca="false">SUM(H76:H79)/O79</f>
        <v>0.179071873059506</v>
      </c>
      <c r="Q79" s="12" t="n">
        <f aca="false">SUM(J76:J79)</f>
        <v>10.45</v>
      </c>
      <c r="R79" s="12" t="n">
        <f aca="false">SUM(K76:K79)</f>
        <v>10.75</v>
      </c>
      <c r="S79" s="9" t="n">
        <v>199.72</v>
      </c>
      <c r="T79" s="13" t="n">
        <f aca="false">IF(Q79&gt;0,S79/Q79,"n/m")</f>
        <v>19.111961722488</v>
      </c>
      <c r="U79" s="13" t="n">
        <f aca="false">IF(R79&gt;0,S79/R79,"n/m")</f>
        <v>18.5786046511628</v>
      </c>
      <c r="V79" s="2" t="s">
        <v>56</v>
      </c>
    </row>
    <row r="80" customFormat="false" ht="15" hidden="false" customHeight="false" outlineLevel="0" collapsed="false">
      <c r="A80" s="4" t="s">
        <v>118</v>
      </c>
      <c r="B80" s="5" t="n">
        <v>45838</v>
      </c>
      <c r="C80" s="6" t="n">
        <v>833.83</v>
      </c>
      <c r="D80" s="10" t="n">
        <f aca="false">C80/C76-1</f>
        <v>0.209809873132683</v>
      </c>
      <c r="E80" s="6" t="n">
        <v>548.611</v>
      </c>
      <c r="F80" s="7" t="n">
        <f aca="false">G80-E80</f>
        <v>134.83</v>
      </c>
      <c r="G80" s="6" t="n">
        <v>683.441</v>
      </c>
      <c r="H80" s="7" t="n">
        <f aca="false">C80-G80</f>
        <v>150.389</v>
      </c>
      <c r="I80" s="6" t="n">
        <v>97.201</v>
      </c>
      <c r="J80" s="9" t="n">
        <v>2.36</v>
      </c>
      <c r="K80" s="9" t="n">
        <v>2.42</v>
      </c>
      <c r="L80" s="10" t="n">
        <f aca="false">E80/C80</f>
        <v>0.657941067123994</v>
      </c>
      <c r="M80" s="10" t="n">
        <f aca="false">H80/C80</f>
        <v>0.180359305853711</v>
      </c>
      <c r="N80" s="11" t="n">
        <f aca="false">IF(ISNUMBER(I80),I80/C80,"n/m")</f>
        <v>0.116571723252941</v>
      </c>
      <c r="O80" s="7" t="n">
        <f aca="false">SUM(C77:C80)</f>
        <v>3238.213</v>
      </c>
      <c r="P80" s="10" t="n">
        <f aca="false">SUM(H77:H80)/O80</f>
        <v>0.184090422711539</v>
      </c>
      <c r="Q80" s="12" t="n">
        <f aca="false">SUM(J77:J80)</f>
        <v>11</v>
      </c>
      <c r="R80" s="12" t="n">
        <f aca="false">SUM(K77:K80)</f>
        <v>11.36</v>
      </c>
      <c r="S80" s="9" t="n">
        <v>270.02</v>
      </c>
      <c r="T80" s="13" t="n">
        <f aca="false">IF(Q80&gt;0,S80/Q80,"n/m")</f>
        <v>24.5472727272727</v>
      </c>
      <c r="U80" s="13" t="n">
        <f aca="false">IF(R80&gt;0,S80/R80,"n/m")</f>
        <v>23.7693661971831</v>
      </c>
      <c r="V80" s="2" t="s">
        <v>56</v>
      </c>
    </row>
    <row r="81" customFormat="false" ht="15" hidden="false" customHeight="false" outlineLevel="0" collapsed="false">
      <c r="A81" s="4" t="s">
        <v>119</v>
      </c>
      <c r="B81" s="5" t="n">
        <v>45930</v>
      </c>
      <c r="C81" s="6" t="n">
        <v>1038.884</v>
      </c>
      <c r="D81" s="10" t="n">
        <f aca="false">C81/C77-1</f>
        <v>0.41494534350646</v>
      </c>
      <c r="E81" s="6" t="n">
        <v>680.652</v>
      </c>
      <c r="F81" s="7" t="n">
        <f aca="false">G81-E81</f>
        <v>142.026</v>
      </c>
      <c r="G81" s="6" t="n">
        <v>822.678</v>
      </c>
      <c r="H81" s="7" t="n">
        <f aca="false">C81-G81</f>
        <v>216.206</v>
      </c>
      <c r="I81" s="6" t="n">
        <v>144.583</v>
      </c>
      <c r="J81" s="9" t="n">
        <v>3.41</v>
      </c>
      <c r="K81" s="9" t="n">
        <v>3.48</v>
      </c>
      <c r="L81" s="10" t="n">
        <f aca="false">E81/C81</f>
        <v>0.655176131310137</v>
      </c>
      <c r="M81" s="10" t="n">
        <f aca="false">H81/C81</f>
        <v>0.208113706631347</v>
      </c>
      <c r="N81" s="11" t="n">
        <f aca="false">IF(ISNUMBER(I81),I81/C81,"n/m")</f>
        <v>0.139171457063541</v>
      </c>
      <c r="O81" s="7" t="n">
        <f aca="false">SUM(C78:C81)</f>
        <v>3542.875</v>
      </c>
      <c r="P81" s="10" t="n">
        <f aca="false">SUM(H78:H81)/O81</f>
        <v>0.19485220336591</v>
      </c>
      <c r="Q81" s="12" t="n">
        <f aca="false">SUM(J78:J81)</f>
        <v>12.55</v>
      </c>
      <c r="R81" s="12" t="n">
        <f aca="false">SUM(K78:K81)</f>
        <v>12.8</v>
      </c>
      <c r="S81" s="9" t="n">
        <v>337.32</v>
      </c>
      <c r="T81" s="13" t="n">
        <f aca="false">IF(Q81&gt;0,S81/Q81,"n/m")</f>
        <v>26.8780876494024</v>
      </c>
      <c r="U81" s="13" t="n">
        <f aca="false">IF(R81&gt;0,S81/R81,"n/m")</f>
        <v>26.353125</v>
      </c>
      <c r="V81" s="2" t="s">
        <v>56</v>
      </c>
    </row>
    <row r="82" customFormat="false" ht="15" hidden="false" customHeight="false" outlineLevel="0" collapsed="false">
      <c r="A82" s="4" t="s">
        <v>120</v>
      </c>
      <c r="B82" s="5" t="n">
        <v>46022</v>
      </c>
      <c r="C82" s="6" t="n">
        <v>1288.277</v>
      </c>
      <c r="D82" s="10" t="n">
        <f aca="false">C82/C78-1</f>
        <v>0.320859973834551</v>
      </c>
      <c r="E82" s="6" t="n">
        <v>811.746</v>
      </c>
      <c r="F82" s="7" t="n">
        <f aca="false">G82-E82</f>
        <v>164.368</v>
      </c>
      <c r="G82" s="6" t="n">
        <v>976.114</v>
      </c>
      <c r="H82" s="7" t="n">
        <f aca="false">C82-G82</f>
        <v>312.163</v>
      </c>
      <c r="I82" s="6" t="n">
        <v>204.032</v>
      </c>
      <c r="J82" s="9" t="n">
        <v>4.76</v>
      </c>
      <c r="K82" s="9" t="n">
        <v>5.13</v>
      </c>
      <c r="L82" s="10" t="n">
        <f aca="false">E82/C82</f>
        <v>0.630102066558667</v>
      </c>
      <c r="M82" s="10" t="n">
        <f aca="false">H82/C82</f>
        <v>0.242310465839257</v>
      </c>
      <c r="N82" s="11" t="n">
        <f aca="false">IF(ISNUMBER(I82),I82/C82,"n/m")</f>
        <v>0.158375877237582</v>
      </c>
      <c r="O82" s="7" t="n">
        <f aca="false">SUM(C79:C82)</f>
        <v>3855.82</v>
      </c>
      <c r="P82" s="10" t="n">
        <f aca="false">SUM(H79:H82)/O82</f>
        <v>0.204870040613929</v>
      </c>
      <c r="Q82" s="12" t="n">
        <f aca="false">SUM(J79:J82)</f>
        <v>14.01</v>
      </c>
      <c r="R82" s="12" t="n">
        <f aca="false">SUM(K79:K82)</f>
        <v>14.52</v>
      </c>
      <c r="S82" s="9" t="n">
        <v>340.25</v>
      </c>
      <c r="T82" s="13" t="n">
        <f aca="false">IF(Q82&gt;0,S82/Q82,"n/m")</f>
        <v>24.2862241256246</v>
      </c>
      <c r="U82" s="13" t="n">
        <f aca="false">IF(R82&gt;0,S82/R82,"n/m")</f>
        <v>23.4331955922865</v>
      </c>
      <c r="V82" s="2" t="s">
        <v>104</v>
      </c>
    </row>
    <row r="83" customFormat="false" ht="15" hidden="false" customHeight="false" outlineLevel="0" collapsed="false">
      <c r="A83" s="4" t="s">
        <v>121</v>
      </c>
      <c r="B83" s="5" t="n">
        <v>46112</v>
      </c>
      <c r="C83" s="6" t="n">
        <v>1391.578</v>
      </c>
      <c r="D83" s="10" t="n">
        <f aca="false">C83/C79-1</f>
        <v>1.00276326981171</v>
      </c>
      <c r="E83" s="6" t="n">
        <v>904.07</v>
      </c>
      <c r="F83" s="7" t="n">
        <f aca="false">G83-E83</f>
        <v>156.782</v>
      </c>
      <c r="G83" s="6" t="n">
        <v>1060.852</v>
      </c>
      <c r="H83" s="7" t="n">
        <f aca="false">C83-G83</f>
        <v>330.726</v>
      </c>
      <c r="I83" s="6" t="n">
        <v>301.235</v>
      </c>
      <c r="J83" s="9" t="n">
        <v>7.2</v>
      </c>
      <c r="K83" s="9" t="n">
        <v>7.53</v>
      </c>
      <c r="L83" s="10" t="n">
        <f aca="false">E83/C83</f>
        <v>0.649672530034249</v>
      </c>
      <c r="M83" s="10" t="n">
        <f aca="false">H83/C83</f>
        <v>0.237662567243805</v>
      </c>
      <c r="N83" s="11" t="n">
        <f aca="false">IF(ISNUMBER(I83),I83/C83,"n/m")</f>
        <v>0.216470079291279</v>
      </c>
      <c r="O83" s="7" t="n">
        <f aca="false">SUM(C80:C83)</f>
        <v>4552.569</v>
      </c>
      <c r="P83" s="10" t="n">
        <f aca="false">SUM(H80:H83)/O83</f>
        <v>0.221739417897895</v>
      </c>
      <c r="Q83" s="12" t="n">
        <f aca="false">SUM(J80:J83)</f>
        <v>17.73</v>
      </c>
      <c r="R83" s="12" t="n">
        <f aca="false">SUM(K80:K83)</f>
        <v>18.56</v>
      </c>
      <c r="S83" s="9" t="n">
        <v>298.51</v>
      </c>
      <c r="T83" s="13" t="n">
        <f aca="false">IF(Q83&gt;0,S83/Q83,"n/m")</f>
        <v>16.8364354201918</v>
      </c>
      <c r="U83" s="13" t="n">
        <f aca="false">IF(R83&gt;0,S83/R83,"n/m")</f>
        <v>16.0835129310345</v>
      </c>
      <c r="V83" s="2" t="s">
        <v>56</v>
      </c>
    </row>
    <row r="84" customFormat="false" ht="15" hidden="false" customHeight="false" outlineLevel="0" collapsed="false">
      <c r="A84" s="4" t="s">
        <v>122</v>
      </c>
      <c r="B84" s="5" t="n">
        <v>46203</v>
      </c>
      <c r="C84" s="6" t="n">
        <v>990.199</v>
      </c>
      <c r="D84" s="10" t="n">
        <f aca="false">C84/C80-1</f>
        <v>0.187531031505223</v>
      </c>
      <c r="E84" s="6" t="n">
        <v>641.791</v>
      </c>
      <c r="F84" s="7" t="n">
        <f aca="false">G84-E84</f>
        <v>201.832</v>
      </c>
      <c r="G84" s="6" t="n">
        <v>843.623</v>
      </c>
      <c r="H84" s="7" t="n">
        <f aca="false">C84-G84</f>
        <v>146.576</v>
      </c>
      <c r="I84" s="6" t="n">
        <v>95.277</v>
      </c>
      <c r="J84" s="9" t="n">
        <v>2.32</v>
      </c>
      <c r="K84" s="9" t="n">
        <v>2.91</v>
      </c>
      <c r="L84" s="10" t="n">
        <f aca="false">E84/C84</f>
        <v>0.648143453992581</v>
      </c>
      <c r="M84" s="10" t="n">
        <f aca="false">H84/C84</f>
        <v>0.14802681077238</v>
      </c>
      <c r="N84" s="11" t="n">
        <f aca="false">IF(ISNUMBER(I84),I84/C84,"n/m")</f>
        <v>0.0962200527368741</v>
      </c>
      <c r="O84" s="7" t="n">
        <f aca="false">SUM(C81:C84)</f>
        <v>4708.938</v>
      </c>
      <c r="P84" s="10" t="n">
        <f aca="false">SUM(H81:H84)/O84</f>
        <v>0.213566413488562</v>
      </c>
      <c r="Q84" s="12" t="n">
        <f aca="false">SUM(J81:J84)</f>
        <v>17.69</v>
      </c>
      <c r="R84" s="12" t="n">
        <f aca="false">SUM(K81:K84)</f>
        <v>19.05</v>
      </c>
      <c r="S84" s="9" t="n">
        <v>341.44</v>
      </c>
      <c r="T84" s="13" t="n">
        <f aca="false">IF(Q84&gt;0,S84/Q84,"n/m")</f>
        <v>19.3013001695873</v>
      </c>
      <c r="U84" s="13" t="n">
        <f aca="false">IF(R84&gt;0,S84/R84,"n/m")</f>
        <v>17.9233595800525</v>
      </c>
      <c r="V84" s="2" t="s">
        <v>56</v>
      </c>
    </row>
    <row r="86" customFormat="false" ht="15" hidden="false" customHeight="false" outlineLevel="0" collapsed="false">
      <c r="A86" s="14" t="s">
        <v>123</v>
      </c>
      <c r="B86" s="5" t="n">
        <v>46301</v>
      </c>
      <c r="Q86" s="12" t="n">
        <f aca="false">Q84</f>
        <v>17.69</v>
      </c>
      <c r="R86" s="12" t="n">
        <f aca="false">R84</f>
        <v>19.05</v>
      </c>
      <c r="S86" s="9" t="n">
        <v>268.08</v>
      </c>
      <c r="T86" s="15" t="n">
        <f aca="false">S86/Q86</f>
        <v>15.1543244771057</v>
      </c>
      <c r="U86" s="15" t="n">
        <f aca="false">S86/R86</f>
        <v>14.0724409448819</v>
      </c>
      <c r="V86" s="2" t="s">
        <v>124</v>
      </c>
    </row>
    <row r="88" customFormat="false" ht="15" hidden="false" customHeight="false" outlineLevel="0" collapsed="false">
      <c r="A88" s="16" t="s">
        <v>125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customFormat="false" ht="15" hidden="false" customHeight="false" outlineLevel="0" collapsed="false">
      <c r="A89" s="14" t="s">
        <v>126</v>
      </c>
      <c r="L89" s="10" t="n">
        <f aca="false">MEDIAN(L19:L84)</f>
        <v>0.632853961636096</v>
      </c>
      <c r="M89" s="10" t="n">
        <f aca="false">MEDIAN(M19:M84)</f>
        <v>0.179448052726089</v>
      </c>
      <c r="P89" s="10" t="n">
        <f aca="false">MEDIAN(P19:P84)</f>
        <v>0.181110030328975</v>
      </c>
      <c r="T89" s="18" t="n">
        <f aca="false">MEDIAN(T19:T84)</f>
        <v>26.280573879346</v>
      </c>
      <c r="U89" s="18" t="n">
        <f aca="false">MEDIAN(U19:U84)</f>
        <v>16.7302469135802</v>
      </c>
      <c r="V89" s="2" t="s">
        <v>127</v>
      </c>
    </row>
    <row r="90" customFormat="false" ht="15" hidden="false" customHeight="false" outlineLevel="0" collapsed="false">
      <c r="A90" s="14" t="s">
        <v>128</v>
      </c>
      <c r="L90" s="10" t="n">
        <f aca="false">MIN(L19:L84)</f>
        <v>0.50108759071098</v>
      </c>
      <c r="M90" s="10" t="n">
        <f aca="false">MIN(M19:M84)</f>
        <v>-0.118124866242534</v>
      </c>
      <c r="P90" s="10" t="n">
        <f aca="false">MIN(P19:P84)</f>
        <v>0.0228958158641752</v>
      </c>
      <c r="T90" s="18" t="n">
        <f aca="false">MIN(T19:T84)</f>
        <v>5.44341495698213</v>
      </c>
      <c r="U90" s="18" t="n">
        <f aca="false">MIN(U19:U84)</f>
        <v>5.26905829596413</v>
      </c>
    </row>
    <row r="91" customFormat="false" ht="15" hidden="false" customHeight="false" outlineLevel="0" collapsed="false">
      <c r="A91" s="14" t="s">
        <v>129</v>
      </c>
      <c r="L91" s="10" t="n">
        <f aca="false">MAX(L19:L84)</f>
        <v>0.785297379326446</v>
      </c>
      <c r="M91" s="10" t="n">
        <f aca="false">MAX(M19:M84)</f>
        <v>0.408744103842283</v>
      </c>
      <c r="P91" s="10" t="n">
        <f aca="false">MAX(P19:P84)</f>
        <v>0.335138572773544</v>
      </c>
      <c r="T91" s="18" t="n">
        <f aca="false">MAX(T19:T84)</f>
        <v>137.588235294118</v>
      </c>
      <c r="U91" s="18" t="n">
        <f aca="false">MAX(U19:U84)</f>
        <v>35.4166666666667</v>
      </c>
    </row>
    <row r="92" customFormat="false" ht="15" hidden="false" customHeight="false" outlineLevel="0" collapsed="false">
      <c r="A92" s="14" t="s">
        <v>130</v>
      </c>
      <c r="L92" s="10" t="n">
        <f aca="false">AVERAGE(L19:L84)</f>
        <v>0.631656915129981</v>
      </c>
      <c r="M92" s="10" t="n">
        <f aca="false">AVERAGE(M19:M84)</f>
        <v>0.177362031502421</v>
      </c>
      <c r="P92" s="10" t="n">
        <f aca="false">AVERAGE(P19:P84)</f>
        <v>0.184010587808475</v>
      </c>
      <c r="T92" s="18" t="n">
        <f aca="false">AVERAGE(T19:T84)</f>
        <v>31.8982381028575</v>
      </c>
      <c r="U92" s="18" t="n">
        <f aca="false">AVERAGE(U19:U84)</f>
        <v>17.4864345974777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4" t="s">
        <v>132</v>
      </c>
    </row>
    <row r="2" customFormat="false" ht="15" hidden="false" customHeight="false" outlineLevel="0" collapsed="false">
      <c r="A2" s="19" t="s">
        <v>133</v>
      </c>
    </row>
    <row r="3" customFormat="false" ht="15" hidden="false" customHeight="false" outlineLevel="0" collapsed="false">
      <c r="A3" s="19" t="s">
        <v>134</v>
      </c>
    </row>
    <row r="4" customFormat="false" ht="15" hidden="false" customHeight="false" outlineLevel="0" collapsed="false">
      <c r="A4" s="19" t="s">
        <v>135</v>
      </c>
    </row>
    <row r="5" customFormat="false" ht="15" hidden="false" customHeight="false" outlineLevel="0" collapsed="false">
      <c r="A5" s="19" t="s">
        <v>136</v>
      </c>
    </row>
    <row r="6" customFormat="false" ht="15" hidden="false" customHeight="false" outlineLevel="0" collapsed="false">
      <c r="A6" s="19"/>
    </row>
    <row r="7" customFormat="false" ht="15" hidden="false" customHeight="false" outlineLevel="0" collapsed="false">
      <c r="A7" s="14" t="s">
        <v>137</v>
      </c>
    </row>
    <row r="8" customFormat="false" ht="15" hidden="false" customHeight="false" outlineLevel="0" collapsed="false">
      <c r="A8" s="19" t="s">
        <v>138</v>
      </c>
    </row>
    <row r="9" customFormat="false" ht="15" hidden="false" customHeight="false" outlineLevel="0" collapsed="false">
      <c r="A9" s="19" t="s">
        <v>139</v>
      </c>
    </row>
    <row r="10" customFormat="false" ht="15" hidden="false" customHeight="false" outlineLevel="0" collapsed="false">
      <c r="A10" s="19" t="s">
        <v>140</v>
      </c>
    </row>
    <row r="11" customFormat="false" ht="15" hidden="false" customHeight="false" outlineLevel="0" collapsed="false">
      <c r="A11" s="19" t="s">
        <v>141</v>
      </c>
    </row>
    <row r="12" customFormat="false" ht="15" hidden="false" customHeight="false" outlineLevel="0" collapsed="false">
      <c r="A12" s="19" t="s">
        <v>142</v>
      </c>
    </row>
    <row r="13" customFormat="false" ht="15" hidden="false" customHeight="false" outlineLevel="0" collapsed="false">
      <c r="A13" s="19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2026-10-10T08:39:59Z</dcterms:created>
  <dc:creator>openpyxl</dc:creator>
  <dc:description/>
  <dc:language>en-US</dc:language>
  <cp:lastModifiedBy/>
  <dcterms:modified xsi:type="dcterms:W3CDTF">2026-10-10T08:40:02Z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