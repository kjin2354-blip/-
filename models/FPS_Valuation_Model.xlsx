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omments/comment6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Historicals" sheetId="3" state="visible" r:id="rId3"/>
    <sheet name="WACC" sheetId="4" state="visible" r:id="rId4"/>
    <sheet name="DCF" sheetId="5" state="visible" r:id="rId5"/>
    <sheet name="Sensitivity" sheetId="6" state="visible" r:id="rId6"/>
    <sheet name="Comps" sheetId="7" state="visible" r:id="rId7"/>
    <sheet name="Precedent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$#,##0.00;($#,##0.00);&quot;-&quot;"/>
    <numFmt numFmtId="166" formatCode="#,##0.0;(#,##0.0);&quot;-&quot;"/>
    <numFmt numFmtId="167" formatCode="$#,##0.0;($#,##0.0);&quot;-&quot;"/>
    <numFmt numFmtId="168" formatCode="$#,##0;($#,##0);&quot;-&quot;"/>
    <numFmt numFmtId="169" formatCode="0.0%;(0.0%);&quot;-&quot;"/>
    <numFmt numFmtId="170" formatCode="0.0x;(0.0x);&quot;-&quot;"/>
    <numFmt numFmtId="171" formatCode="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68" fontId="4" fillId="0" borderId="0" pivotButton="0" quotePrefix="0" xfId="0"/>
    <xf numFmtId="168" fontId="3" fillId="0" borderId="0" pivotButton="0" quotePrefix="0" xfId="0"/>
    <xf numFmtId="1" fontId="5" fillId="3" borderId="0" pivotButton="0" quotePrefix="0" xfId="0"/>
    <xf numFmtId="0" fontId="6" fillId="4" borderId="0" applyAlignment="1" pivotButton="0" quotePrefix="0" xfId="0">
      <alignment horizontal="center" vertical="center" wrapText="1"/>
    </xf>
    <xf numFmtId="168" fontId="5" fillId="0" borderId="0" pivotButton="0" quotePrefix="0" xfId="0"/>
    <xf numFmtId="169" fontId="5" fillId="0" borderId="0" pivotButton="0" quotePrefix="0" xfId="0"/>
    <xf numFmtId="169" fontId="4" fillId="0" borderId="0" pivotButton="0" quotePrefix="0" xfId="0"/>
    <xf numFmtId="169" fontId="5" fillId="3" borderId="0" pivotButton="0" quotePrefix="0" xfId="0"/>
    <xf numFmtId="170" fontId="5" fillId="3" borderId="0" pivotButton="0" quotePrefix="0" xfId="0"/>
    <xf numFmtId="1" fontId="5" fillId="0" borderId="0" pivotButton="0" quotePrefix="0" xfId="0"/>
    <xf numFmtId="2" fontId="4" fillId="0" borderId="0" pivotButton="0" quotePrefix="0" xfId="0"/>
    <xf numFmtId="167" fontId="4" fillId="0" borderId="0" pivotButton="0" quotePrefix="0" xfId="0"/>
    <xf numFmtId="2" fontId="5" fillId="0" borderId="0" pivotButton="0" quotePrefix="0" xfId="0"/>
    <xf numFmtId="169" fontId="7" fillId="0" borderId="0" pivotButton="0" quotePrefix="0" xfId="0"/>
    <xf numFmtId="169" fontId="3" fillId="0" borderId="0" pivotButton="0" quotePrefix="0" xfId="0"/>
    <xf numFmtId="168" fontId="7" fillId="0" borderId="0" pivotButton="0" quotePrefix="0" xfId="0"/>
    <xf numFmtId="169" fontId="3" fillId="3" borderId="0" pivotButton="0" quotePrefix="0" xfId="0"/>
    <xf numFmtId="0" fontId="0" fillId="0" borderId="1" pivotButton="0" quotePrefix="0" xfId="0"/>
    <xf numFmtId="168" fontId="3" fillId="0" borderId="1" pivotButton="0" quotePrefix="0" xfId="0"/>
    <xf numFmtId="2" fontId="7" fillId="0" borderId="0" pivotButton="0" quotePrefix="0" xfId="0"/>
    <xf numFmtId="171" fontId="4" fillId="0" borderId="0" pivotButton="0" quotePrefix="0" xfId="0"/>
    <xf numFmtId="0" fontId="3" fillId="2" borderId="0" applyAlignment="1" pivotButton="0" quotePrefix="0" xfId="0">
      <alignment horizontal="center"/>
    </xf>
    <xf numFmtId="170" fontId="7" fillId="0" borderId="0" pivotButton="0" quotePrefix="0" xfId="0"/>
    <xf numFmtId="166" fontId="7" fillId="0" borderId="0" pivotButton="0" quotePrefix="0" xfId="0"/>
    <xf numFmtId="165" fontId="3" fillId="3" borderId="0" pivotButton="0" quotePrefix="0" xfId="0"/>
    <xf numFmtId="165" fontId="7" fillId="0" borderId="0" pivotButton="0" quotePrefix="0" xfId="0"/>
    <xf numFmtId="170" fontId="4" fillId="0" borderId="0" pivotButton="0" quotePrefix="0" xfId="0"/>
    <xf numFmtId="169" fontId="8" fillId="0" borderId="0" pivotButton="0" quotePrefix="0" xfId="0"/>
    <xf numFmtId="165" fontId="4" fillId="0" borderId="0" pivotButton="0" quotePrefix="0" xfId="0"/>
    <xf numFmtId="165" fontId="4" fillId="3" borderId="0" pivotButton="0" quotePrefix="0" xfId="0"/>
    <xf numFmtId="170" fontId="8" fillId="0" borderId="0" pivotButton="0" quotePrefix="0" xfId="0"/>
    <xf numFmtId="0" fontId="2" fillId="0" borderId="0" applyAlignment="1" pivotButton="0" quotePrefix="0" xfId="0">
      <alignment horizontal="right"/>
    </xf>
    <xf numFmtId="170" fontId="3" fillId="0" borderId="0" pivotButton="0" quotePrefix="0" xfId="0"/>
    <xf numFmtId="165" fontId="3" fillId="0" borderId="0" pivotButton="0" quotePrefix="0" xfId="0"/>
    <xf numFmtId="0" fontId="4" fillId="0" borderId="0" applyAlignment="1" pivotButton="0" quotePrefix="0" xfId="0">
      <alignment vertical="top" wrapText="1"/>
    </xf>
    <xf numFmtId="1" fontId="5" fillId="0" borderId="0" applyAlignment="1" pivotButton="0" quotePrefix="0" xfId="0">
      <alignment horizontal="center"/>
    </xf>
    <xf numFmtId="170" fontId="5" fillId="0" borderId="0" pivotButton="0" quotePrefix="0" xfId="0"/>
    <xf numFmtId="165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FPS valuation range ($/share)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'Summary'!B4</f>
            </strRef>
          </tx>
          <spPr>
            <a:noFill/>
            <a:ln>
              <a:noFill/>
              <a:prstDash val="solid"/>
            </a:ln>
          </spPr>
          <cat>
            <numRef>
              <f>'Summary'!$A$5:$A$10</f>
            </numRef>
          </cat>
          <val>
            <numRef>
              <f>'Summary'!$B$5:$B$10</f>
            </numRef>
          </val>
        </ser>
        <ser>
          <idx val="1"/>
          <order val="1"/>
          <tx>
            <strRef>
              <f>'Summary'!D4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'Summary'!$A$5:$A$10</f>
            </numRef>
          </cat>
          <val>
            <numRef>
              <f>'Summary'!$D$5:$D$10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 per share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B5" authorId="0" shapeId="0">
      <text>
        <t>Last close used for price (Fri 25-Sep-2026).</t>
      </text>
    </comment>
    <comment ref="B6" authorId="0" shapeId="0">
      <text>
        <t>Close 25-Sep-2026. Source: stockanalysis.com/stocks/fps/statistics</t>
      </text>
    </comment>
    <comment ref="B7" authorId="0" shapeId="0">
      <text>
        <t>10-K cover page, as of 8-Sep-2026 (274,527,094). SEC EDGAR 0002080126-26-000035</t>
      </text>
    </comment>
    <comment ref="B8" authorId="0" shapeId="0">
      <text>
        <t>10-K cover page, as of 8-Sep-2026 (29,901,795). Exchangeable 1:1 into Class A (Up-C), so included in fully diluted count.</t>
      </text>
    </comment>
    <comment ref="B9" authorId="0" shapeId="0">
      <text>
        <t>FY26 incremental dilutive shares from share-based awards (XBRL IncrementalCommonSharesAttributableToShareBasedPaymentArrangements = 270k). Approximation.</t>
      </text>
    </comment>
    <comment ref="B10" authorId="0" shapeId="0">
      <text>
        <t>Balance sheet 30-Jun-2026: current $6.0mm + LT $576.2mm (net of discount). $600mm TL due 2032, ~6.63% effective rate. 10-K FY2026.</t>
      </text>
    </comment>
    <comment ref="B11" authorId="0" shapeId="0">
      <text>
        <t>Balance sheet 30-Jun-2026. 10-K FY2026.</t>
      </text>
    </comment>
    <comment ref="B12" authorId="0" shapeId="0">
      <text>
        <t>30-Jun-2026. Excluded from net debt because lease cost sits inside EBITDA (ASC 842 operating leases); including it would double count.</t>
      </text>
    </comment>
    <comment ref="B20" authorId="0" shapeId="0">
      <text>
        <t>Change to 2 or 3 to flip the DCF to Bull or Bear.</t>
      </text>
    </comment>
    <comment ref="A24" authorId="0" shapeId="0">
      <text>
        <t>FY27E = guidance midpoint ($2.4-2.6bn revenue, $575-625mm adj. EBITDA; 8-K 15-Sep-2026). $3.0bn backlog covers &gt;90% of FY27 guide. Growth then fades toward GDP+; FY31E revenue (~$4.9bn) stays inside stated ~$5.8bn revenue capacity. Margin fades to 22% as data-center pricing normalizes.</t>
      </text>
    </comment>
    <comment ref="B24" authorId="0" shapeId="0">
      <text>
        <t>FY27E revenue level ($mm), from company guidance range.</t>
      </text>
    </comment>
    <comment ref="A26" authorId="0" shapeId="0">
      <text>
        <t>FY27E = top of guidance. Stronger AI data-center build-out; FY29E revenue in line with ~46% 3-yr consensus CAGR (stockanalysis). Margins expand on operating leverage then fade to 24%.</t>
      </text>
    </comment>
    <comment ref="B26" authorId="0" shapeId="0">
      <text>
        <t>FY27E revenue level ($mm), from company guidance range.</t>
      </text>
    </comment>
    <comment ref="A28" authorId="0" shapeId="0">
      <text>
        <t>FY27E = bottom of guidance. Data-center capex digestion in FY29-FY30 (revenue declines FY30E), price competition compresses margins to 18% (closer to legacy switchgear peers).</t>
      </text>
    </comment>
    <comment ref="B28" authorId="0" shapeId="0">
      <text>
        <t>FY27E revenue level ($mm), from company guidance range.</t>
      </text>
    </comment>
    <comment ref="A35" authorId="0" shapeId="0">
      <text>
        <t>Adj. EBITDA adds back SBC. We deduct it as an economic cost. FY26 SBC $10.0mm (0.7%); Q4 FY26 annualized ~1.0% post-IPO.</t>
      </text>
    </comment>
    <comment ref="A36" authorId="0" shapeId="0">
      <text>
        <t>FY26 depreciation $19.0mm = 1.3% of revenue; rises as the 1.8mm sq ft expansion and Tijuana capacity are placed in service.</t>
      </text>
    </comment>
    <comment ref="A37" authorId="0" shapeId="0">
      <text>
        <t>FY27 guide ~$87mm (~3.5% of midpoint revenue). FY26 capex $115.9mm (8.2%) was an expansion peak. Fades to maintenance+growth ~2.5%, above D&amp;A in terminal year.</t>
      </text>
    </comment>
    <comment ref="A38" authorId="0" shapeId="0">
      <text>
        <t>FY26 NWC build (AR +$173mm, inventory +$143mm, prepaid +$66mm, less AP +$69mm, contract liabilities +$153mm, accrued +$43mm) = ~$118mm on +$667mm revenue (~18%). Customer deposits partly fund growth; 15% assumed.</t>
      </text>
    </comment>
    <comment ref="A39" authorId="0" shapeId="0">
      <text>
        <t>21% federal + ~4% state/Mexico blended. Reported FY26 ETR of 16.8% is depressed by pre-IPO LLC pass-through income attributable to NCI; an Up-C consolidated view taxes 100% of Opco.</t>
      </text>
    </comment>
    <comment ref="B42" authorId="0" shapeId="0">
      <text>
        <t>Long-run nominal GDP-ish; electrification/grid tailwinds argue for upper end of 2-3.5%.</t>
      </text>
    </comment>
    <comment ref="B43" authorId="0" shapeId="0">
      <text>
        <t>Mid-point of mature electrical-equipment peers (ETN/HUBB/NVT historically ~13-18x forward EBITDA); applied to FY36E, when growth has normalized.</t>
      </text>
    </comment>
    <comment ref="B44" authorId="0" shapeId="0">
      <text>
        <t>Cash flows assumed to arrive mid-period.</t>
      </text>
    </comment>
    <comment ref="B45" authorId="0" shapeId="0">
      <text>
        <t>FY27 ends 30-Jun-2027.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D5" authorId="0" shapeId="0">
      <text>
        <t>Derived: 1H FY26 revenue $579.678mm (10-Q) less Q2 $296.404mm.</t>
      </text>
    </comment>
    <comment ref="F14" authorId="0" shapeId="0">
      <text>
        <t>Q3 FY26 earnings release: 'Adjusted EBITDA ... $85 million'. Rounded as disclosed.</t>
      </text>
    </comment>
    <comment ref="G16" authorId="0" shapeId="0">
      <text>
        <t>Q4 release narrative, rounded ($31mm).</t>
      </text>
    </comment>
    <comment ref="G17" authorId="0" shapeId="0">
      <text>
        <t>Q4 release narrative, rounded ($74mm).</t>
      </text>
    </comment>
    <comment ref="B28" authorId="0" shapeId="0">
      <text>
        <t>~$3.0bn; 10-K FY2026. Covers &gt;90% of FY27 revenue guidance (Q4 call).</t>
      </text>
    </comment>
    <comment ref="B29" authorId="0" shapeId="0">
      <text>
        <t>Q4 FY26 earnings release highlights.</t>
      </text>
    </comment>
    <comment ref="B30" authorId="0" shapeId="0">
      <text>
        <t>10-K FY2026, approximate.</t>
      </text>
    </comment>
    <comment ref="B31" authorId="0" shapeId="0">
      <text>
        <t>10-K FY2026, approximate.</t>
      </text>
    </comment>
    <comment ref="B32" authorId="0" shapeId="0">
      <text>
        <t>10-K FY2026, approximate.</t>
      </text>
    </comment>
    <comment ref="B33" authorId="0" shapeId="0">
      <text>
        <t>10-K FY2026, approximate.</t>
      </text>
    </comment>
    <comment ref="B34" authorId="0" shapeId="0">
      <text>
        <t>Q4 FY26 call: new 385k sq ft facility online Q4 FY27 raises capacity to ~$5.8bn.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B4" authorId="0" shapeId="0">
      <text>
        <t>Assumption: 10-yr US Treasury ~4.25% (Sept 2026). Verify against live yield before use.</t>
      </text>
    </comment>
    <comment ref="B5" authorId="0" shapeId="0">
      <text>
        <t>Kroll/Damodaran-style implied ERP range 4.5-6.0%.</t>
      </text>
    </comment>
    <comment ref="B6" authorId="0" shapeId="0">
      <text>
        <t>Judgment from peer betas: Vertiv ~1.6-1.8, Powell ~1.3-1.5, GE Vernova ~1.2-1.4, Eaton ~1.1. FPS is high-growth, data-center concentrated (~59% of revenue) -&gt; upper half.</t>
      </text>
    </comment>
    <comment ref="B7" authorId="0" shapeId="0">
      <text>
        <t>Set to 0 by default; FPS ~$12bn market cap. Use to reflect customer concentration if desired.</t>
      </text>
    </comment>
    <comment ref="B8" authorId="0" shapeId="0">
      <text>
        <t>Effective rate on $600mm term loan due 2032 (10-K FY2026).</t>
      </text>
    </comment>
    <comment ref="B20" authorId="0" shapeId="0">
      <text>
        <t>Type a rate here to override the CAPM-derived WACC.</t>
      </text>
    </comment>
  </commentList>
</comments>
</file>

<file path=xl/comments/comment4.xml><?xml version="1.0" encoding="utf-8"?>
<comments xmlns="http://schemas.openxmlformats.org/spreadsheetml/2006/main">
  <authors>
    <author>Model</author>
  </authors>
  <commentList>
    <comment ref="C5" authorId="0" shapeId="0">
      <text>
        <t>Market data: stockanalysis.com/stocks/vrt/statistics (25-Sep-2026). Consensus CY26E/CY27E revenue &amp; EBITDA: MarketScreener /finances/ (accessed 26-Sep-2026).</t>
      </text>
    </comment>
    <comment ref="C6" authorId="0" shapeId="0">
      <text>
        <t>Market data: stockanalysis.com/stocks/etn/statistics (25-Sep-2026). Consensus CY26E/CY27E revenue &amp; EBITDA: MarketScreener /finances/ (accessed 26-Sep-2026).</t>
      </text>
    </comment>
    <comment ref="C7" authorId="0" shapeId="0">
      <text>
        <t>Market data: stockanalysis.com/stocks/gev/statistics (25-Sep-2026). Consensus CY26E/CY27E revenue &amp; EBITDA: MarketScreener /finances/ (accessed 26-Sep-2026). LTM EBITDA is GAAP and depressed.</t>
      </text>
    </comment>
    <comment ref="C8" authorId="0" shapeId="0">
      <text>
        <t>Market data: stockanalysis.com/stocks/powl/statistics (25-Sep-2026). Consensus CY26E/CY27E revenue &amp; EBITDA: MarketScreener /finances/ (accessed 26-Sep-2026). Fiscal years end September (not calendarized).</t>
      </text>
    </comment>
    <comment ref="C9" authorId="0" shapeId="0">
      <text>
        <t>Market data: stockanalysis.com/stocks/hubb/statistics (25-Sep-2026). Consensus CY26E/CY27E revenue &amp; EBITDA: MarketScreener /finances/ (accessed 26-Sep-2026).</t>
      </text>
    </comment>
    <comment ref="C10" authorId="0" shapeId="0">
      <text>
        <t>Market data: stockanalysis.com/stocks/nvt/statistics (25-Sep-2026). Consensus CY26E/CY27E revenue &amp; EBITDA: MarketScreener /finances/ (accessed 26-Sep-2026).</t>
      </text>
    </comment>
    <comment ref="C11" authorId="0" shapeId="0">
      <text>
        <t>Market data: stockanalysis.com/quote/epa/SU/statistics (25-Sep-2026). Consensus CY26E/CY27E revenue &amp; EBITDA: MarketScreener /finances/ (accessed 26-Sep-2026).</t>
      </text>
    </comment>
    <comment ref="C12" authorId="0" shapeId="0">
      <text>
        <t>Market data: stockanalysis.com/quote/epa/LR/statistics (25-Sep-2026). Consensus CY26E/CY27E revenue &amp; EBITDA: MarketScreener /finances/ (accessed 26-Sep-2026).</t>
      </text>
    </comment>
    <comment ref="C13" authorId="0" shapeId="0">
      <text>
        <t>Market data: stockanalysis.com/quote/tsx/HPS.A/statistics (25-Sep-2026). Consensus CY26E/CY27E revenue &amp; EBITDA: MarketScreener /finances/ (accessed 26-Sep-2026). Debt = C$94.75mm reported + ~C$410mm (US$300mm term debt) drawn to fund AEG Power Solutions (closed 29-Jun-2026), pro forma. LTM EBITDA omitted: GAAP figure distorted by deal costs.</t>
      </text>
    </comment>
    <comment ref="K22" authorId="0" shapeId="0">
      <text>
        <t>Calendarized: CY2026 = 50% FY26A (Jul-25 to Jun-26) + 50% FY27E. Uses the active DCF case.</t>
      </text>
    </comment>
    <comment ref="L22" authorId="0" shapeId="0">
      <text>
        <t>CY2027 = 50% FY27E + 50% FY28E.</t>
      </text>
    </comment>
  </commentList>
</comments>
</file>

<file path=xl/comments/comment5.xml><?xml version="1.0" encoding="utf-8"?>
<comments xmlns="http://schemas.openxmlformats.org/spreadsheetml/2006/main">
  <authors>
    <author>Model</author>
  </authors>
  <commentList>
    <comment ref="E5" authorId="0" shapeId="0">
      <text>
        <t>investors.flex.com release 3-Sep-2026; mgrid.org 3-Sep-2026</t>
      </text>
    </comment>
    <comment ref="E6" authorId="0" shapeId="0">
      <text>
        <t>Vertiv 8-K ex-99.1, SEC 0001193125-26-379306</t>
      </text>
    </comment>
    <comment ref="E7" authorId="0" shapeId="0">
      <text>
        <t>prnewswire, Flex to acquire EP2, 30-Mar-2026</t>
      </text>
    </comment>
    <comment ref="E8" authorId="0" shapeId="0">
      <text>
        <t>gevernova.com press release 21-Oct-2025</t>
      </text>
    </comment>
    <comment ref="E9" authorId="0" shapeId="0">
      <text>
        <t>Hubbell 8-K ex-99.1, SEC 0001193125-25-180835</t>
      </text>
    </comment>
    <comment ref="E10" authorId="0" shapeId="0">
      <text>
        <t>Eaton release; Eaton 10-Q Q2-2025</t>
      </text>
    </comment>
    <comment ref="E11" authorId="0" shapeId="0">
      <text>
        <t>nVent release 10-Mar-2025; switchgear-magazine.com</t>
      </text>
    </comment>
    <comment ref="E12" authorId="0" shapeId="0">
      <text>
        <t>nVent release 6-Jun-2024</t>
      </text>
    </comment>
    <comment ref="E13" authorId="0" shapeId="0">
      <text>
        <t>Hubbell 8-K ex-99.1, SEC 0001193125-23-266285</t>
      </text>
    </comment>
    <comment ref="E14" authorId="0" shapeId="0">
      <text>
        <t>nVent release 3-Apr-2023</t>
      </text>
    </comment>
    <comment ref="E15" authorId="0" shapeId="0">
      <text>
        <t>Vertiv 8-K ex-99.1, SEC 0001193125-21-267213</t>
      </text>
    </comment>
    <comment ref="E16" authorId="0" shapeId="0">
      <text>
        <t>Eaton release 3-Nov-2025</t>
      </text>
    </comment>
    <comment ref="E17" authorId="0" shapeId="0">
      <text>
        <t>Vertiv 8-K ex-99.1, SEC 0001193125-25-261623</t>
      </text>
    </comment>
    <comment ref="E18" authorId="0" shapeId="0">
      <text>
        <t>Quanta release 18-Jul-2024</t>
      </text>
    </comment>
    <comment ref="E19" authorId="0" shapeId="0">
      <text>
        <t>prysmian.com release 15-Apr-2024</t>
      </text>
    </comment>
    <comment ref="C30" authorId="0" shapeId="0">
      <text>
        <t>Calendar-2026E (50% FY26A + 50% FY27E, active DCF case).</t>
      </text>
    </comment>
    <comment ref="C31" authorId="0" shapeId="0">
      <text>
        <t>Calendar-2026E (50% FY26A + 50% FY27E, active DCF case).</t>
      </text>
    </comment>
  </commentList>
</comments>
</file>

<file path=xl/comments/comment6.xml><?xml version="1.0" encoding="utf-8"?>
<comments xmlns="http://schemas.openxmlformats.org/spreadsheetml/2006/main">
  <authors>
    <author>Model</author>
  </authors>
  <commentList>
    <comment ref="B10" authorId="0" shapeId="0">
      <text>
        <t>Consensus mean target $57.90 (stockanalysis.com, 25-Sep-2026; 10 analysts). Reference only.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10" customWidth="1" min="2" max="2"/>
  </cols>
  <sheetData>
    <row r="1">
      <c r="A1" s="1" t="inlineStr">
        <is>
          <t>Forgent Power Solutions, Inc. (NYSE: FPS) - Valuation Model</t>
        </is>
      </c>
    </row>
    <row r="3">
      <c r="A3" s="2" t="inlineStr">
        <is>
          <t>DCF (10-year, FY27E-FY36E, Base/Bull/Bear), trading comparables, precedent transactions, football-field summary.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 xml:space="preserve">  Inputs - market data, capital structure, scenario drivers (scenario switch in yellow). Edit blue cells only.</t>
        </is>
      </c>
    </row>
    <row r="7">
      <c r="A7" s="2" t="inlineStr">
        <is>
          <t xml:space="preserve">  Historicals - FY25A/FY26A and FY26 quarters from the FY2026 10-K and Q4 earnings release.</t>
        </is>
      </c>
    </row>
    <row r="8">
      <c r="A8" s="2" t="inlineStr">
        <is>
          <t xml:space="preserve">  WACC - CAPM cost of equity with peer-based beta; optional override cell.</t>
        </is>
      </c>
    </row>
    <row r="9">
      <c r="A9" s="2" t="inlineStr">
        <is>
          <t xml:space="preserve">  DCF - unlevered FCF build, perpetuity-growth and exit-multiple terminal values, equity bridge.</t>
        </is>
      </c>
    </row>
    <row r="10">
      <c r="A10" s="2" t="inlineStr">
        <is>
          <t xml:space="preserve">  Sensitivity - share price vs WACC x terminal growth and WACC x exit multiple (live formulas).</t>
        </is>
      </c>
    </row>
    <row r="11">
      <c r="A11" s="2" t="inlineStr">
        <is>
          <t xml:space="preserve">  Comps - peer trading multiples with 25th/median/75th percentile implied FPS values.</t>
        </is>
      </c>
    </row>
    <row r="12">
      <c r="A12" s="2" t="inlineStr">
        <is>
          <t xml:space="preserve">  Precedents - M&amp;A multiples for power-distribution / data-center power targets.</t>
        </is>
      </c>
    </row>
    <row r="13">
      <c r="A13" s="2" t="inlineStr">
        <is>
          <t xml:space="preserve">  Summary - football field across methods.</t>
        </is>
      </c>
    </row>
    <row r="14">
      <c r="A14" s="2" t="inlineStr"/>
    </row>
    <row r="15">
      <c r="A15" s="3" t="inlineStr">
        <is>
          <t>KEY MODELLING CHOICES</t>
        </is>
      </c>
    </row>
    <row r="16">
      <c r="A16" s="2" t="inlineStr">
        <is>
          <t xml:space="preserve">  * FY27E anchored to company guidance (revenue $2.4-2.6bn, adj. EBITDA $575-625mm). FY28E onward are analyst assumptions, not guidance.</t>
        </is>
      </c>
    </row>
    <row r="17">
      <c r="A17" s="2" t="inlineStr">
        <is>
          <t xml:space="preserve">  * SBC is deducted as a cash-equivalent cost even though company 'Adjusted EBITDA' adds it back.</t>
        </is>
      </c>
    </row>
    <row r="18">
      <c r="A18" s="2" t="inlineStr">
        <is>
          <t xml:space="preserve">  * Up-C: Class B units are exchangeable 1:1, so they are counted in diluted shares and no NCI is deducted.</t>
        </is>
      </c>
    </row>
    <row r="19">
      <c r="A19" s="2" t="inlineStr">
        <is>
          <t xml:space="preserve">  * Tax receivable agreement (TRA): cash flows are taxed at a full 25% rate with no benefit from the IPO basis step-up. Since FPS pays 85% of that step-up benefit to legacy holders, ignoring both the shield and the TRA liability is roughly neutral (it slightly understates value by the retained 15%).</t>
        </is>
      </c>
    </row>
    <row r="20">
      <c r="A20" s="2" t="inlineStr">
        <is>
          <t xml:space="preserve">  * Operating leases are left inside EBITDA and excluded from net debt (consistent treatment).</t>
        </is>
      </c>
    </row>
    <row r="21">
      <c r="A21" s="2" t="inlineStr">
        <is>
          <t xml:space="preserve">  * Acquired-intangible amortization is not tax-effected (conservative).</t>
        </is>
      </c>
    </row>
    <row r="22">
      <c r="A22" s="2" t="inlineStr"/>
    </row>
    <row r="23">
      <c r="A23" s="2" t="inlineStr">
        <is>
          <t>COLOUR CODE: blue = hardcoded input, black = formula, green = link to another sheet, yellow fill = key lever / output.</t>
        </is>
      </c>
    </row>
    <row r="24">
      <c r="A24" s="2" t="inlineStr">
        <is>
          <t>Sources: SEC EDGAR filings for CIK 0002080126 (10-K FY2026, 8-K earnings releases, 10-Qs, S-1/424B4); market data per cell comments.</t>
        </is>
      </c>
    </row>
    <row r="25">
      <c r="A25" s="2" t="inlineStr">
        <is>
          <t>Not investment advice. Peer and deal data are compiled from public sources and should be re-verified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Forgent Power Solutions (NYSE: FPS) - Key Inputs &amp; Scenario Assumptions</t>
        </is>
      </c>
    </row>
    <row r="2">
      <c r="A2" s="4" t="inlineStr">
        <is>
          <t>$ in millions except per-share. Fiscal year ends June 30. Blue = hardcoded input; black = formula; green = link to another sheet; yellow = key lever.</t>
        </is>
      </c>
    </row>
    <row r="4">
      <c r="A4" s="5" t="inlineStr">
        <is>
          <t>Market data &amp; capital structure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7" t="inlineStr">
        <is>
          <t>Valuation date</t>
        </is>
      </c>
      <c r="B5" s="8" t="n">
        <v>46290</v>
      </c>
    </row>
    <row r="6">
      <c r="A6" s="7" t="inlineStr">
        <is>
          <t>Share price ($)</t>
        </is>
      </c>
      <c r="B6" s="9" t="n">
        <v>38.97</v>
      </c>
    </row>
    <row r="7">
      <c r="A7" s="7" t="inlineStr">
        <is>
          <t>Class A shares outstanding (mm)</t>
        </is>
      </c>
      <c r="B7" s="10" t="n">
        <v>274.527094</v>
      </c>
    </row>
    <row r="8">
      <c r="A8" s="7" t="inlineStr">
        <is>
          <t>Class B shares / Opco units (mm)</t>
        </is>
      </c>
      <c r="B8" s="10" t="n">
        <v>29.901795</v>
      </c>
    </row>
    <row r="9">
      <c r="A9" s="7" t="inlineStr">
        <is>
          <t>Dilutive RSUs / options, treasury method (mm)</t>
        </is>
      </c>
      <c r="B9" s="10" t="n">
        <v>0.27</v>
      </c>
    </row>
    <row r="10">
      <c r="A10" s="7" t="inlineStr">
        <is>
          <t>Total debt - term loan ($mm)</t>
        </is>
      </c>
      <c r="B10" s="11" t="n">
        <v>582.175</v>
      </c>
    </row>
    <row r="11">
      <c r="A11" s="7" t="inlineStr">
        <is>
          <t>Cash &amp; equivalents ($mm)</t>
        </is>
      </c>
      <c r="B11" s="11" t="n">
        <v>97.477</v>
      </c>
    </row>
    <row r="12">
      <c r="A12" s="7" t="inlineStr">
        <is>
          <t>Operating lease liabilities ($mm) - memo, not in bridge</t>
        </is>
      </c>
      <c r="B12" s="11" t="n">
        <v>121.596</v>
      </c>
    </row>
    <row r="13">
      <c r="A13" s="12" t="inlineStr">
        <is>
          <t>Fully diluted shares (mm)</t>
        </is>
      </c>
      <c r="B13" s="13">
        <f>B7+B8+B9</f>
        <v/>
      </c>
    </row>
    <row r="14">
      <c r="A14" s="7" t="inlineStr">
        <is>
          <t>Equity value / market cap ($mm)</t>
        </is>
      </c>
      <c r="B14" s="14">
        <f>B6*B13</f>
        <v/>
      </c>
    </row>
    <row r="15">
      <c r="A15" s="7" t="inlineStr">
        <is>
          <t>Net debt ($mm)</t>
        </is>
      </c>
      <c r="B15" s="14">
        <f>B10-B11</f>
        <v/>
      </c>
    </row>
    <row r="16">
      <c r="A16" s="12" t="inlineStr">
        <is>
          <t>Enterprise value at market ($mm)</t>
        </is>
      </c>
      <c r="B16" s="15">
        <f>B14+B15</f>
        <v/>
      </c>
    </row>
    <row r="17">
      <c r="A17" s="4" t="inlineStr">
        <is>
          <t>Note: TRA liability (Up-C tax receivable agreement) excluded from the bridge - see Cover note on tax treatment.</t>
        </is>
      </c>
    </row>
    <row r="19">
      <c r="A19" s="5" t="inlineStr">
        <is>
          <t>Scenario selector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12" t="inlineStr">
        <is>
          <t>Active case (1 = Base, 2 = Bull, 3 = Bear)</t>
        </is>
      </c>
      <c r="B20" s="16" t="n">
        <v>1</v>
      </c>
      <c r="C20" s="7">
        <f>CHOOSE(B20,"Base","Bull","Bear")</f>
        <v/>
      </c>
    </row>
    <row r="22">
      <c r="A22" s="5" t="inlineStr">
        <is>
          <t>Operating assumptions by scenario (FY27E = company guidance; FY28E+ = analyst assumption)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17" t="inlineStr">
        <is>
          <t>Driver / case</t>
        </is>
      </c>
      <c r="B23" s="17" t="inlineStr">
        <is>
          <t>FY27E</t>
        </is>
      </c>
      <c r="C23" s="17" t="inlineStr">
        <is>
          <t>FY28E</t>
        </is>
      </c>
      <c r="D23" s="17" t="inlineStr">
        <is>
          <t>FY29E</t>
        </is>
      </c>
      <c r="E23" s="17" t="inlineStr">
        <is>
          <t>FY30E</t>
        </is>
      </c>
      <c r="F23" s="17" t="inlineStr">
        <is>
          <t>FY31E</t>
        </is>
      </c>
      <c r="G23" s="17" t="inlineStr">
        <is>
          <t>FY32E</t>
        </is>
      </c>
      <c r="H23" s="17" t="inlineStr">
        <is>
          <t>FY33E</t>
        </is>
      </c>
      <c r="I23" s="17" t="inlineStr">
        <is>
          <t>FY34E</t>
        </is>
      </c>
      <c r="J23" s="17" t="inlineStr">
        <is>
          <t>FY35E</t>
        </is>
      </c>
      <c r="K23" s="17" t="inlineStr">
        <is>
          <t>FY36E</t>
        </is>
      </c>
    </row>
    <row r="24">
      <c r="A24" s="7" t="inlineStr">
        <is>
          <t>Base: revenue growth (FY27E cell = revenue $mm)</t>
        </is>
      </c>
      <c r="B24" s="18" t="n">
        <v>2500</v>
      </c>
      <c r="C24" s="19" t="n">
        <v>0.35</v>
      </c>
      <c r="D24" s="19" t="n">
        <v>0.2</v>
      </c>
      <c r="E24" s="19" t="n">
        <v>0.12</v>
      </c>
      <c r="F24" s="19" t="n">
        <v>0.08</v>
      </c>
      <c r="G24" s="19" t="n">
        <v>0.07000000000000001</v>
      </c>
      <c r="H24" s="19" t="n">
        <v>0.06</v>
      </c>
      <c r="I24" s="19" t="n">
        <v>0.05</v>
      </c>
      <c r="J24" s="19" t="n">
        <v>0.04</v>
      </c>
      <c r="K24" s="19" t="n">
        <v>0.035</v>
      </c>
    </row>
    <row r="25">
      <c r="A25" s="7" t="inlineStr">
        <is>
          <t>Base: adj. EBITDA margin</t>
        </is>
      </c>
      <c r="B25" s="19" t="n">
        <v>0.24</v>
      </c>
      <c r="C25" s="19" t="n">
        <v>0.245</v>
      </c>
      <c r="D25" s="19" t="n">
        <v>0.245</v>
      </c>
      <c r="E25" s="19" t="n">
        <v>0.24</v>
      </c>
      <c r="F25" s="19" t="n">
        <v>0.235</v>
      </c>
      <c r="G25" s="19" t="n">
        <v>0.23</v>
      </c>
      <c r="H25" s="19" t="n">
        <v>0.225</v>
      </c>
      <c r="I25" s="19" t="n">
        <v>0.22</v>
      </c>
      <c r="J25" s="19" t="n">
        <v>0.22</v>
      </c>
      <c r="K25" s="19" t="n">
        <v>0.22</v>
      </c>
    </row>
    <row r="26">
      <c r="A26" s="7" t="inlineStr">
        <is>
          <t>Bull: revenue growth (FY27E cell = revenue $mm)</t>
        </is>
      </c>
      <c r="B26" s="18" t="n">
        <v>2600</v>
      </c>
      <c r="C26" s="19" t="n">
        <v>0.45</v>
      </c>
      <c r="D26" s="19" t="n">
        <v>0.28</v>
      </c>
      <c r="E26" s="19" t="n">
        <v>0.16</v>
      </c>
      <c r="F26" s="19" t="n">
        <v>0.1</v>
      </c>
      <c r="G26" s="19" t="n">
        <v>0.08</v>
      </c>
      <c r="H26" s="19" t="n">
        <v>0.07000000000000001</v>
      </c>
      <c r="I26" s="19" t="n">
        <v>0.06</v>
      </c>
      <c r="J26" s="19" t="n">
        <v>0.05</v>
      </c>
      <c r="K26" s="19" t="n">
        <v>0.04</v>
      </c>
    </row>
    <row r="27">
      <c r="A27" s="7" t="inlineStr">
        <is>
          <t>Bull: adj. EBITDA margin</t>
        </is>
      </c>
      <c r="B27" s="19" t="n">
        <v>0.24</v>
      </c>
      <c r="C27" s="19" t="n">
        <v>0.255</v>
      </c>
      <c r="D27" s="19" t="n">
        <v>0.26</v>
      </c>
      <c r="E27" s="19" t="n">
        <v>0.26</v>
      </c>
      <c r="F27" s="19" t="n">
        <v>0.255</v>
      </c>
      <c r="G27" s="19" t="n">
        <v>0.25</v>
      </c>
      <c r="H27" s="19" t="n">
        <v>0.245</v>
      </c>
      <c r="I27" s="19" t="n">
        <v>0.24</v>
      </c>
      <c r="J27" s="19" t="n">
        <v>0.24</v>
      </c>
      <c r="K27" s="19" t="n">
        <v>0.24</v>
      </c>
    </row>
    <row r="28">
      <c r="A28" s="7" t="inlineStr">
        <is>
          <t>Bear: revenue growth (FY27E cell = revenue $mm)</t>
        </is>
      </c>
      <c r="B28" s="18" t="n">
        <v>2400</v>
      </c>
      <c r="C28" s="19" t="n">
        <v>0.15</v>
      </c>
      <c r="D28" s="19" t="n">
        <v>0.08</v>
      </c>
      <c r="E28" s="19" t="n">
        <v>-0.05</v>
      </c>
      <c r="F28" s="19" t="n">
        <v>0.03</v>
      </c>
      <c r="G28" s="19" t="n">
        <v>0.04</v>
      </c>
      <c r="H28" s="19" t="n">
        <v>0.04</v>
      </c>
      <c r="I28" s="19" t="n">
        <v>0.035</v>
      </c>
      <c r="J28" s="19" t="n">
        <v>0.03</v>
      </c>
      <c r="K28" s="19" t="n">
        <v>0.03</v>
      </c>
    </row>
    <row r="29">
      <c r="A29" s="7" t="inlineStr">
        <is>
          <t>Bear: adj. EBITDA margin</t>
        </is>
      </c>
      <c r="B29" s="19" t="n">
        <v>0.24</v>
      </c>
      <c r="C29" s="19" t="n">
        <v>0.225</v>
      </c>
      <c r="D29" s="19" t="n">
        <v>0.21</v>
      </c>
      <c r="E29" s="19" t="n">
        <v>0.19</v>
      </c>
      <c r="F29" s="19" t="n">
        <v>0.18</v>
      </c>
      <c r="G29" s="19" t="n">
        <v>0.18</v>
      </c>
      <c r="H29" s="19" t="n">
        <v>0.18</v>
      </c>
      <c r="I29" s="19" t="n">
        <v>0.18</v>
      </c>
      <c r="J29" s="19" t="n">
        <v>0.18</v>
      </c>
      <c r="K29" s="19" t="n">
        <v>0.18</v>
      </c>
    </row>
    <row r="30">
      <c r="A30" s="12" t="inlineStr">
        <is>
          <t>Active: revenue growth / FY27E revenue</t>
        </is>
      </c>
      <c r="B30" s="14">
        <f>CHOOSE(Inputs!$B$20,B24,B26,B28)</f>
        <v/>
      </c>
      <c r="C30" s="20">
        <f>CHOOSE(Inputs!$B$20,C24,C26,C28)</f>
        <v/>
      </c>
      <c r="D30" s="20">
        <f>CHOOSE(Inputs!$B$20,D24,D26,D28)</f>
        <v/>
      </c>
      <c r="E30" s="20">
        <f>CHOOSE(Inputs!$B$20,E24,E26,E28)</f>
        <v/>
      </c>
      <c r="F30" s="20">
        <f>CHOOSE(Inputs!$B$20,F24,F26,F28)</f>
        <v/>
      </c>
      <c r="G30" s="20">
        <f>CHOOSE(Inputs!$B$20,G24,G26,G28)</f>
        <v/>
      </c>
      <c r="H30" s="20">
        <f>CHOOSE(Inputs!$B$20,H24,H26,H28)</f>
        <v/>
      </c>
      <c r="I30" s="20">
        <f>CHOOSE(Inputs!$B$20,I24,I26,I28)</f>
        <v/>
      </c>
      <c r="J30" s="20">
        <f>CHOOSE(Inputs!$B$20,J24,J26,J28)</f>
        <v/>
      </c>
      <c r="K30" s="20">
        <f>CHOOSE(Inputs!$B$20,K24,K26,K28)</f>
        <v/>
      </c>
    </row>
    <row r="31">
      <c r="A31" s="12" t="inlineStr">
        <is>
          <t>Active: adj. EBITDA margin</t>
        </is>
      </c>
      <c r="B31" s="20">
        <f>CHOOSE(Inputs!$B$20,B25,B27,B29)</f>
        <v/>
      </c>
      <c r="C31" s="20">
        <f>CHOOSE(Inputs!$B$20,C25,C27,C29)</f>
        <v/>
      </c>
      <c r="D31" s="20">
        <f>CHOOSE(Inputs!$B$20,D25,D27,D29)</f>
        <v/>
      </c>
      <c r="E31" s="20">
        <f>CHOOSE(Inputs!$B$20,E25,E27,E29)</f>
        <v/>
      </c>
      <c r="F31" s="20">
        <f>CHOOSE(Inputs!$B$20,F25,F27,F29)</f>
        <v/>
      </c>
      <c r="G31" s="20">
        <f>CHOOSE(Inputs!$B$20,G25,G27,G29)</f>
        <v/>
      </c>
      <c r="H31" s="20">
        <f>CHOOSE(Inputs!$B$20,H25,H27,H29)</f>
        <v/>
      </c>
      <c r="I31" s="20">
        <f>CHOOSE(Inputs!$B$20,I25,I27,I29)</f>
        <v/>
      </c>
      <c r="J31" s="20">
        <f>CHOOSE(Inputs!$B$20,J25,J27,J29)</f>
        <v/>
      </c>
      <c r="K31" s="20">
        <f>CHOOSE(Inputs!$B$20,K25,K27,K29)</f>
        <v/>
      </c>
    </row>
    <row r="33">
      <c r="A33" s="5" t="inlineStr">
        <is>
          <t>Other operating drivers (all cases)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17" t="inlineStr">
        <is>
          <t>Driver</t>
        </is>
      </c>
      <c r="B34" s="17" t="inlineStr">
        <is>
          <t>FY27E</t>
        </is>
      </c>
      <c r="C34" s="17" t="inlineStr">
        <is>
          <t>FY28E</t>
        </is>
      </c>
      <c r="D34" s="17" t="inlineStr">
        <is>
          <t>FY29E</t>
        </is>
      </c>
      <c r="E34" s="17" t="inlineStr">
        <is>
          <t>FY30E</t>
        </is>
      </c>
      <c r="F34" s="17" t="inlineStr">
        <is>
          <t>FY31E</t>
        </is>
      </c>
      <c r="G34" s="17" t="inlineStr">
        <is>
          <t>FY32E</t>
        </is>
      </c>
      <c r="H34" s="17" t="inlineStr">
        <is>
          <t>FY33E</t>
        </is>
      </c>
      <c r="I34" s="17" t="inlineStr">
        <is>
          <t>FY34E</t>
        </is>
      </c>
      <c r="J34" s="17" t="inlineStr">
        <is>
          <t>FY35E</t>
        </is>
      </c>
      <c r="K34" s="17" t="inlineStr">
        <is>
          <t>FY36E</t>
        </is>
      </c>
    </row>
    <row r="35">
      <c r="A35" s="7" t="inlineStr">
        <is>
          <t>Stock-based comp (% revenue) - treated as a cash cost</t>
        </is>
      </c>
      <c r="B35" s="19" t="n">
        <v>0.01</v>
      </c>
      <c r="C35" s="19" t="n">
        <v>0.01</v>
      </c>
      <c r="D35" s="19" t="n">
        <v>0.01</v>
      </c>
      <c r="E35" s="19" t="n">
        <v>0.01</v>
      </c>
      <c r="F35" s="19" t="n">
        <v>0.01</v>
      </c>
      <c r="G35" s="19" t="n">
        <v>0.01</v>
      </c>
      <c r="H35" s="19" t="n">
        <v>0.01</v>
      </c>
      <c r="I35" s="19" t="n">
        <v>0.01</v>
      </c>
      <c r="J35" s="19" t="n">
        <v>0.01</v>
      </c>
      <c r="K35" s="19" t="n">
        <v>0.01</v>
      </c>
    </row>
    <row r="36">
      <c r="A36" s="7" t="inlineStr">
        <is>
          <t>Depreciation (% revenue)</t>
        </is>
      </c>
      <c r="B36" s="19" t="n">
        <v>0.015</v>
      </c>
      <c r="C36" s="19" t="n">
        <v>0.016</v>
      </c>
      <c r="D36" s="19" t="n">
        <v>0.017</v>
      </c>
      <c r="E36" s="19" t="n">
        <v>0.018</v>
      </c>
      <c r="F36" s="19" t="n">
        <v>0.019</v>
      </c>
      <c r="G36" s="19" t="n">
        <v>0.02</v>
      </c>
      <c r="H36" s="19" t="n">
        <v>0.021</v>
      </c>
      <c r="I36" s="19" t="n">
        <v>0.022</v>
      </c>
      <c r="J36" s="19" t="n">
        <v>0.022</v>
      </c>
      <c r="K36" s="19" t="n">
        <v>0.022</v>
      </c>
    </row>
    <row r="37">
      <c r="A37" s="7" t="inlineStr">
        <is>
          <t>Capex (% revenue)</t>
        </is>
      </c>
      <c r="B37" s="19" t="n">
        <v>0.035</v>
      </c>
      <c r="C37" s="19" t="n">
        <v>0.035</v>
      </c>
      <c r="D37" s="19" t="n">
        <v>0.03</v>
      </c>
      <c r="E37" s="19" t="n">
        <v>0.03</v>
      </c>
      <c r="F37" s="19" t="n">
        <v>0.028</v>
      </c>
      <c r="G37" s="19" t="n">
        <v>0.026</v>
      </c>
      <c r="H37" s="19" t="n">
        <v>0.025</v>
      </c>
      <c r="I37" s="19" t="n">
        <v>0.025</v>
      </c>
      <c r="J37" s="19" t="n">
        <v>0.025</v>
      </c>
      <c r="K37" s="19" t="n">
        <v>0.025</v>
      </c>
    </row>
    <row r="38">
      <c r="A38" s="7" t="inlineStr">
        <is>
          <t>Change in NWC (% of change in revenue)</t>
        </is>
      </c>
      <c r="B38" s="19" t="n">
        <v>0.15</v>
      </c>
      <c r="C38" s="19" t="n">
        <v>0.15</v>
      </c>
      <c r="D38" s="19" t="n">
        <v>0.15</v>
      </c>
      <c r="E38" s="19" t="n">
        <v>0.15</v>
      </c>
      <c r="F38" s="19" t="n">
        <v>0.15</v>
      </c>
      <c r="G38" s="19" t="n">
        <v>0.15</v>
      </c>
      <c r="H38" s="19" t="n">
        <v>0.15</v>
      </c>
      <c r="I38" s="19" t="n">
        <v>0.15</v>
      </c>
      <c r="J38" s="19" t="n">
        <v>0.15</v>
      </c>
      <c r="K38" s="19" t="n">
        <v>0.15</v>
      </c>
    </row>
    <row r="39">
      <c r="A39" s="7" t="inlineStr">
        <is>
          <t>Cash tax rate on EBITA</t>
        </is>
      </c>
      <c r="B39" s="19" t="n">
        <v>0.25</v>
      </c>
      <c r="C39" s="19" t="n">
        <v>0.25</v>
      </c>
      <c r="D39" s="19" t="n">
        <v>0.25</v>
      </c>
      <c r="E39" s="19" t="n">
        <v>0.25</v>
      </c>
      <c r="F39" s="19" t="n">
        <v>0.25</v>
      </c>
      <c r="G39" s="19" t="n">
        <v>0.25</v>
      </c>
      <c r="H39" s="19" t="n">
        <v>0.25</v>
      </c>
      <c r="I39" s="19" t="n">
        <v>0.25</v>
      </c>
      <c r="J39" s="19" t="n">
        <v>0.25</v>
      </c>
      <c r="K39" s="19" t="n">
        <v>0.25</v>
      </c>
    </row>
    <row r="41">
      <c r="A41" s="5" t="inlineStr">
        <is>
          <t>Valuation inputs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7" t="inlineStr">
        <is>
          <t>Terminal growth rate (perpetuity)</t>
        </is>
      </c>
      <c r="B42" s="21" t="n">
        <v>0.03</v>
      </c>
    </row>
    <row r="43">
      <c r="A43" s="7" t="inlineStr">
        <is>
          <t>Terminal EV / EBITDA exit multiple (cross-check)</t>
        </is>
      </c>
      <c r="B43" s="22" t="n">
        <v>14</v>
      </c>
    </row>
    <row r="44">
      <c r="A44" s="7" t="inlineStr">
        <is>
          <t>Mid-year convention (1 = on, 0 = off)</t>
        </is>
      </c>
      <c r="B44" s="23" t="n">
        <v>1</v>
      </c>
    </row>
    <row r="45">
      <c r="A45" s="7" t="inlineStr">
        <is>
          <t>Next fiscal year end</t>
        </is>
      </c>
      <c r="B45" s="8" t="n">
        <v>46568</v>
      </c>
    </row>
    <row r="46">
      <c r="A46" s="7" t="inlineStr">
        <is>
          <t>Stub fraction of FY27 remaining after valuation date</t>
        </is>
      </c>
      <c r="B46" s="24">
        <f>(Inputs!$B$45-Inputs!$B$5)/365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Forgent - Historical Financials ($mm, FYE June 30)</t>
        </is>
      </c>
    </row>
    <row r="2">
      <c r="A2" s="4" t="inlineStr">
        <is>
          <t>Source: FY2026 10-K and Q4 FY2026 earnings release (8-K, Sept 2026), SEC EDGAR CIK 0002080126. FY24 is a partial successor period after the Sept-2023 Neos Partners acquisition and is omitted.</t>
        </is>
      </c>
    </row>
    <row r="4">
      <c r="A4" s="17" t="inlineStr">
        <is>
          <t>Income statement</t>
        </is>
      </c>
      <c r="B4" s="17" t="inlineStr">
        <is>
          <t>FY2025A</t>
        </is>
      </c>
      <c r="C4" s="17" t="inlineStr">
        <is>
          <t>FY2026A</t>
        </is>
      </c>
      <c r="D4" s="17" t="inlineStr">
        <is>
          <t>Q1 FY26A</t>
        </is>
      </c>
      <c r="E4" s="17" t="inlineStr">
        <is>
          <t>Q2 FY26A</t>
        </is>
      </c>
      <c r="F4" s="17" t="inlineStr">
        <is>
          <t>Q3 FY26A</t>
        </is>
      </c>
      <c r="G4" s="17" t="inlineStr">
        <is>
          <t>Q4 FY26A</t>
        </is>
      </c>
    </row>
    <row r="5">
      <c r="A5" s="7" t="inlineStr">
        <is>
          <t>Revenue</t>
        </is>
      </c>
      <c r="B5" s="11" t="n">
        <v>753.188</v>
      </c>
      <c r="C5" s="11" t="n">
        <v>1420.059</v>
      </c>
      <c r="D5" s="11" t="n">
        <v>283.274</v>
      </c>
      <c r="E5" s="11" t="n">
        <v>296.404</v>
      </c>
      <c r="F5" s="11" t="n">
        <v>378.709</v>
      </c>
      <c r="G5" s="11" t="n">
        <v>461.672</v>
      </c>
    </row>
    <row r="6">
      <c r="A6" s="7" t="inlineStr">
        <is>
          <t>Gross profit</t>
        </is>
      </c>
      <c r="B6" s="11" t="n">
        <v>278.066</v>
      </c>
      <c r="C6" s="11" t="n">
        <v>497.6</v>
      </c>
      <c r="G6" s="11" t="n">
        <v>166.695</v>
      </c>
    </row>
    <row r="7">
      <c r="A7" s="7" t="inlineStr">
        <is>
          <t>SG&amp;A</t>
        </is>
      </c>
      <c r="B7" s="11" t="n">
        <v>146.27</v>
      </c>
      <c r="C7" s="11" t="n">
        <v>262.886</v>
      </c>
      <c r="G7" s="11" t="n">
        <v>62.64</v>
      </c>
    </row>
    <row r="8">
      <c r="A8" s="7" t="inlineStr">
        <is>
          <t>Operating income</t>
        </is>
      </c>
      <c r="B8" s="11" t="n">
        <v>72.23699999999999</v>
      </c>
      <c r="C8" s="11" t="n">
        <v>182.489</v>
      </c>
      <c r="G8" s="11" t="n">
        <v>91.899</v>
      </c>
    </row>
    <row r="9">
      <c r="A9" s="7" t="inlineStr">
        <is>
          <t>Depreciation</t>
        </is>
      </c>
      <c r="B9" s="11" t="n">
        <v>6.188</v>
      </c>
      <c r="C9" s="11" t="n">
        <v>19.023</v>
      </c>
      <c r="G9" s="11" t="n">
        <v>5.623</v>
      </c>
    </row>
    <row r="10">
      <c r="A10" s="7" t="inlineStr">
        <is>
          <t>Amortization of intangibles</t>
        </is>
      </c>
      <c r="B10" s="11" t="n">
        <v>58.676</v>
      </c>
      <c r="C10" s="11" t="n">
        <v>47.876</v>
      </c>
      <c r="G10" s="11" t="n">
        <v>10.87</v>
      </c>
    </row>
    <row r="11">
      <c r="A11" s="7" t="inlineStr">
        <is>
          <t>Interest expense</t>
        </is>
      </c>
      <c r="B11" s="11" t="n">
        <v>54.778</v>
      </c>
      <c r="C11" s="11" t="n">
        <v>57.127</v>
      </c>
      <c r="G11" s="11" t="n">
        <v>11.423</v>
      </c>
    </row>
    <row r="12">
      <c r="A12" s="7" t="inlineStr">
        <is>
          <t>Income tax expense</t>
        </is>
      </c>
      <c r="B12" s="11" t="n">
        <v>5.34</v>
      </c>
      <c r="C12" s="11" t="n">
        <v>21.365</v>
      </c>
      <c r="G12" s="11" t="n">
        <v>14.427</v>
      </c>
    </row>
    <row r="13">
      <c r="A13" s="7" t="inlineStr">
        <is>
          <t>Net income</t>
        </is>
      </c>
      <c r="B13" s="11" t="n">
        <v>17.446</v>
      </c>
      <c r="C13" s="11" t="n">
        <v>106.035</v>
      </c>
      <c r="G13" s="11" t="n">
        <v>66.09399999999999</v>
      </c>
    </row>
    <row r="14">
      <c r="A14" s="7" t="inlineStr">
        <is>
          <t>Adjusted EBITDA (company definition)</t>
        </is>
      </c>
      <c r="B14" s="11" t="n">
        <v>169.173</v>
      </c>
      <c r="C14" s="11" t="n">
        <v>322.904</v>
      </c>
      <c r="F14" s="11" t="n">
        <v>85</v>
      </c>
      <c r="G14" s="11" t="n">
        <v>112.736</v>
      </c>
    </row>
    <row r="15">
      <c r="A15" s="7" t="inlineStr">
        <is>
          <t>Stock-based compensation</t>
        </is>
      </c>
      <c r="C15" s="11" t="n">
        <v>10.036</v>
      </c>
      <c r="G15" s="11" t="n">
        <v>4.49</v>
      </c>
    </row>
    <row r="16">
      <c r="A16" s="7" t="inlineStr">
        <is>
          <t>Capex</t>
        </is>
      </c>
      <c r="B16" s="11" t="n">
        <v>84.11499999999999</v>
      </c>
      <c r="C16" s="11" t="n">
        <v>115.905</v>
      </c>
      <c r="G16" s="11" t="n">
        <v>31</v>
      </c>
    </row>
    <row r="17">
      <c r="A17" s="7" t="inlineStr">
        <is>
          <t>Operating cash flow</t>
        </is>
      </c>
      <c r="B17" s="11" t="n">
        <v>45.022</v>
      </c>
      <c r="C17" s="11" t="n">
        <v>109.081</v>
      </c>
      <c r="G17" s="11" t="n">
        <v>74</v>
      </c>
    </row>
    <row r="19">
      <c r="A19" s="5" t="inlineStr">
        <is>
          <t>Ratios</t>
        </is>
      </c>
      <c r="B19" s="6" t="n"/>
      <c r="C19" s="6" t="n"/>
      <c r="D19" s="6" t="n"/>
      <c r="E19" s="6" t="n"/>
      <c r="F19" s="6" t="n"/>
      <c r="G19" s="6" t="n"/>
    </row>
    <row r="20">
      <c r="A20" s="7" t="inlineStr">
        <is>
          <t>Revenue growth</t>
        </is>
      </c>
      <c r="C20" s="20">
        <f>C5/B5-1</f>
        <v/>
      </c>
    </row>
    <row r="21">
      <c r="A21" s="7" t="inlineStr">
        <is>
          <t>Gross margin</t>
        </is>
      </c>
      <c r="B21" s="20">
        <f>B6/B5</f>
        <v/>
      </c>
      <c r="C21" s="20">
        <f>C6/C5</f>
        <v/>
      </c>
    </row>
    <row r="22">
      <c r="A22" s="7" t="inlineStr">
        <is>
          <t>Adj. EBITDA margin</t>
        </is>
      </c>
      <c r="B22" s="20">
        <f>B14/B5</f>
        <v/>
      </c>
      <c r="C22" s="20">
        <f>C14/C5</f>
        <v/>
      </c>
      <c r="F22" s="20">
        <f>F14/F5</f>
        <v/>
      </c>
      <c r="G22" s="20">
        <f>G14/G5</f>
        <v/>
      </c>
    </row>
    <row r="23">
      <c r="A23" s="7" t="inlineStr">
        <is>
          <t>Capex % revenue</t>
        </is>
      </c>
      <c r="B23" s="20">
        <f>B16/B5</f>
        <v/>
      </c>
      <c r="C23" s="20">
        <f>C16/C5</f>
        <v/>
      </c>
    </row>
    <row r="24">
      <c r="A24" s="7" t="inlineStr">
        <is>
          <t>Depreciation % revenue</t>
        </is>
      </c>
      <c r="B24" s="20">
        <f>B9/B5</f>
        <v/>
      </c>
      <c r="C24" s="20">
        <f>C9/C5</f>
        <v/>
      </c>
    </row>
    <row r="25">
      <c r="A25" s="7" t="inlineStr">
        <is>
          <t>Free cash flow (OCF - capex)</t>
        </is>
      </c>
      <c r="B25" s="25">
        <f>B17-B16</f>
        <v/>
      </c>
      <c r="C25" s="25">
        <f>C17-C16</f>
        <v/>
      </c>
    </row>
    <row r="27">
      <c r="A27" s="5" t="inlineStr">
        <is>
          <t>Operating KPIs (30-Jun-2026)</t>
        </is>
      </c>
      <c r="B27" s="6" t="n"/>
      <c r="C27" s="6" t="n"/>
      <c r="D27" s="6" t="n"/>
      <c r="E27" s="6" t="n"/>
      <c r="F27" s="6" t="n"/>
      <c r="G27" s="6" t="n"/>
    </row>
    <row r="28">
      <c r="A28" s="7" t="inlineStr">
        <is>
          <t>Backlog ($mm)</t>
        </is>
      </c>
      <c r="B28" s="18" t="n">
        <v>3000</v>
      </c>
    </row>
    <row r="29">
      <c r="A29" s="7" t="inlineStr">
        <is>
          <t>FY26 bookings ($mm)</t>
        </is>
      </c>
      <c r="B29" s="18" t="n">
        <v>1503</v>
      </c>
    </row>
    <row r="30">
      <c r="A30" s="7" t="inlineStr">
        <is>
          <t>FY26 revenue mix: Data center</t>
        </is>
      </c>
      <c r="B30" s="19" t="n">
        <v>0.59</v>
      </c>
    </row>
    <row r="31">
      <c r="A31" s="7" t="inlineStr">
        <is>
          <t>FY26 revenue mix: Grid</t>
        </is>
      </c>
      <c r="B31" s="19" t="n">
        <v>0.21</v>
      </c>
    </row>
    <row r="32">
      <c r="A32" s="7" t="inlineStr">
        <is>
          <t>FY26 revenue mix: Industrial</t>
        </is>
      </c>
      <c r="B32" s="19" t="n">
        <v>0.1</v>
      </c>
    </row>
    <row r="33">
      <c r="A33" s="7" t="inlineStr">
        <is>
          <t>FY26 revenue mix: Other</t>
        </is>
      </c>
      <c r="B33" s="19" t="n">
        <v>0.1</v>
      </c>
    </row>
    <row r="34">
      <c r="A34" s="7" t="inlineStr">
        <is>
          <t>Stated revenue capacity after Tijuana expansion ($mm)</t>
        </is>
      </c>
      <c r="B34" s="18" t="n">
        <v>5800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Weighted Average Cost of Capital</t>
        </is>
      </c>
    </row>
    <row r="2">
      <c r="A2" s="4" t="inlineStr">
        <is>
          <t>FPS listed Feb-2026: too little trading history for a reliable regression beta, so beta is peer-based.</t>
        </is>
      </c>
    </row>
    <row r="4">
      <c r="A4" s="7" t="inlineStr">
        <is>
          <t>Risk-free rate (10-yr UST)</t>
        </is>
      </c>
      <c r="B4" s="19" t="n">
        <v>0.0425</v>
      </c>
    </row>
    <row r="5">
      <c r="A5" s="7" t="inlineStr">
        <is>
          <t>Equity risk premium</t>
        </is>
      </c>
      <c r="B5" s="19" t="n">
        <v>0.055</v>
      </c>
    </row>
    <row r="6">
      <c r="A6" s="7" t="inlineStr">
        <is>
          <t>Levered beta (peer-based)</t>
        </is>
      </c>
      <c r="B6" s="26" t="n">
        <v>1.45</v>
      </c>
    </row>
    <row r="7">
      <c r="A7" s="7" t="inlineStr">
        <is>
          <t>Size / company-specific premium</t>
        </is>
      </c>
      <c r="B7" s="19" t="n">
        <v>0</v>
      </c>
    </row>
    <row r="8">
      <c r="A8" s="7" t="inlineStr">
        <is>
          <t>Pre-tax cost of debt</t>
        </is>
      </c>
      <c r="B8" s="19" t="n">
        <v>0.0663</v>
      </c>
    </row>
    <row r="9">
      <c r="A9" s="7" t="inlineStr">
        <is>
          <t>Tax rate</t>
        </is>
      </c>
      <c r="B9" s="27">
        <f>Inputs!B39</f>
        <v/>
      </c>
    </row>
    <row r="11">
      <c r="A11" s="12" t="inlineStr">
        <is>
          <t>Cost of equity (CAPM)</t>
        </is>
      </c>
      <c r="B11" s="28">
        <f>B4+B6*B5+B7</f>
        <v/>
      </c>
    </row>
    <row r="12">
      <c r="A12" s="7" t="inlineStr">
        <is>
          <t>After-tax cost of debt</t>
        </is>
      </c>
      <c r="B12" s="20">
        <f>B8*(1-B9)</f>
        <v/>
      </c>
    </row>
    <row r="14">
      <c r="A14" s="7" t="inlineStr">
        <is>
          <t>Market value of equity ($mm)</t>
        </is>
      </c>
      <c r="B14" s="29">
        <f>Inputs!$B$14</f>
        <v/>
      </c>
    </row>
    <row r="15">
      <c r="A15" s="7" t="inlineStr">
        <is>
          <t>Debt ($mm)</t>
        </is>
      </c>
      <c r="B15" s="29">
        <f>Inputs!$B$10</f>
        <v/>
      </c>
    </row>
    <row r="16">
      <c r="A16" s="7" t="inlineStr">
        <is>
          <t>Debt / total capital</t>
        </is>
      </c>
      <c r="B16" s="20">
        <f>B15/(B14+B15)</f>
        <v/>
      </c>
    </row>
    <row r="17">
      <c r="A17" s="7" t="inlineStr">
        <is>
          <t>Equity / total capital</t>
        </is>
      </c>
      <c r="B17" s="20">
        <f>1-B16</f>
        <v/>
      </c>
    </row>
    <row r="19">
      <c r="A19" s="12" t="inlineStr">
        <is>
          <t>WACC</t>
        </is>
      </c>
      <c r="B19" s="30">
        <f>B17*B11+B16*B12</f>
        <v/>
      </c>
    </row>
    <row r="20">
      <c r="A20" s="7" t="inlineStr">
        <is>
          <t>WACC override (leave blank to use calculated)</t>
        </is>
      </c>
      <c r="B20" s="19" t="n"/>
    </row>
    <row r="21">
      <c r="A21" s="12" t="inlineStr">
        <is>
          <t>WACC used in DCF</t>
        </is>
      </c>
      <c r="B21" s="28">
        <f>IF(ISNUMBER(B20),B20,B19)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Unlevered DCF - Forgent Power Solutions</t>
        </is>
      </c>
    </row>
    <row r="2">
      <c r="A2" s="4">
        <f>"Active case: "&amp;Inputs!$C$20&amp;"   |   $mm, FYE June 30"</f>
        <v/>
      </c>
    </row>
    <row r="4">
      <c r="A4" s="17" t="inlineStr">
        <is>
          <t>($mm)</t>
        </is>
      </c>
      <c r="B4" s="17" t="inlineStr">
        <is>
          <t>FY26A</t>
        </is>
      </c>
      <c r="C4" s="17" t="inlineStr">
        <is>
          <t>FY27E</t>
        </is>
      </c>
      <c r="D4" s="17" t="inlineStr">
        <is>
          <t>FY28E</t>
        </is>
      </c>
      <c r="E4" s="17" t="inlineStr">
        <is>
          <t>FY29E</t>
        </is>
      </c>
      <c r="F4" s="17" t="inlineStr">
        <is>
          <t>FY30E</t>
        </is>
      </c>
      <c r="G4" s="17" t="inlineStr">
        <is>
          <t>FY31E</t>
        </is>
      </c>
      <c r="H4" s="17" t="inlineStr">
        <is>
          <t>FY32E</t>
        </is>
      </c>
      <c r="I4" s="17" t="inlineStr">
        <is>
          <t>FY33E</t>
        </is>
      </c>
      <c r="J4" s="17" t="inlineStr">
        <is>
          <t>FY34E</t>
        </is>
      </c>
      <c r="K4" s="17" t="inlineStr">
        <is>
          <t>FY35E</t>
        </is>
      </c>
      <c r="L4" s="17" t="inlineStr">
        <is>
          <t>FY36E</t>
        </is>
      </c>
    </row>
    <row r="5">
      <c r="A5" s="12" t="inlineStr">
        <is>
          <t>Revenue</t>
        </is>
      </c>
      <c r="B5" s="29">
        <f>Historicals!C5</f>
        <v/>
      </c>
      <c r="C5" s="29">
        <f>Inputs!B30</f>
        <v/>
      </c>
      <c r="D5" s="14">
        <f>C5*(1+D6)</f>
        <v/>
      </c>
      <c r="E5" s="14">
        <f>D5*(1+E6)</f>
        <v/>
      </c>
      <c r="F5" s="14">
        <f>E5*(1+F6)</f>
        <v/>
      </c>
      <c r="G5" s="14">
        <f>F5*(1+G6)</f>
        <v/>
      </c>
      <c r="H5" s="14">
        <f>G5*(1+H6)</f>
        <v/>
      </c>
      <c r="I5" s="14">
        <f>H5*(1+I6)</f>
        <v/>
      </c>
      <c r="J5" s="14">
        <f>I5*(1+J6)</f>
        <v/>
      </c>
      <c r="K5" s="14">
        <f>J5*(1+K6)</f>
        <v/>
      </c>
      <c r="L5" s="14">
        <f>K5*(1+L6)</f>
        <v/>
      </c>
    </row>
    <row r="6">
      <c r="A6" s="7" t="inlineStr">
        <is>
          <t xml:space="preserve">  growth %</t>
        </is>
      </c>
      <c r="B6" s="27">
        <f>Historicals!C20</f>
        <v/>
      </c>
      <c r="C6" s="20">
        <f>C5/B5-1</f>
        <v/>
      </c>
      <c r="D6" s="27">
        <f>Inputs!C30</f>
        <v/>
      </c>
      <c r="E6" s="27">
        <f>Inputs!D30</f>
        <v/>
      </c>
      <c r="F6" s="27">
        <f>Inputs!E30</f>
        <v/>
      </c>
      <c r="G6" s="27">
        <f>Inputs!F30</f>
        <v/>
      </c>
      <c r="H6" s="27">
        <f>Inputs!G30</f>
        <v/>
      </c>
      <c r="I6" s="27">
        <f>Inputs!H30</f>
        <v/>
      </c>
      <c r="J6" s="27">
        <f>Inputs!I30</f>
        <v/>
      </c>
      <c r="K6" s="27">
        <f>Inputs!J30</f>
        <v/>
      </c>
      <c r="L6" s="27">
        <f>Inputs!K30</f>
        <v/>
      </c>
    </row>
    <row r="7">
      <c r="A7" s="12" t="inlineStr">
        <is>
          <t>Adj. EBITDA</t>
        </is>
      </c>
      <c r="B7" s="29">
        <f>Historicals!C14</f>
        <v/>
      </c>
      <c r="C7" s="14">
        <f>C5*C8</f>
        <v/>
      </c>
      <c r="D7" s="14">
        <f>D5*D8</f>
        <v/>
      </c>
      <c r="E7" s="14">
        <f>E5*E8</f>
        <v/>
      </c>
      <c r="F7" s="14">
        <f>F5*F8</f>
        <v/>
      </c>
      <c r="G7" s="14">
        <f>G5*G8</f>
        <v/>
      </c>
      <c r="H7" s="14">
        <f>H5*H8</f>
        <v/>
      </c>
      <c r="I7" s="14">
        <f>I5*I8</f>
        <v/>
      </c>
      <c r="J7" s="14">
        <f>J5*J8</f>
        <v/>
      </c>
      <c r="K7" s="14">
        <f>K5*K8</f>
        <v/>
      </c>
      <c r="L7" s="14">
        <f>L5*L8</f>
        <v/>
      </c>
    </row>
    <row r="8">
      <c r="A8" s="7" t="inlineStr">
        <is>
          <t xml:space="preserve">  margin %</t>
        </is>
      </c>
      <c r="B8" s="20">
        <f>B7/B5</f>
        <v/>
      </c>
      <c r="C8" s="27">
        <f>Inputs!B31</f>
        <v/>
      </c>
      <c r="D8" s="27">
        <f>Inputs!C31</f>
        <v/>
      </c>
      <c r="E8" s="27">
        <f>Inputs!D31</f>
        <v/>
      </c>
      <c r="F8" s="27">
        <f>Inputs!E31</f>
        <v/>
      </c>
      <c r="G8" s="27">
        <f>Inputs!F31</f>
        <v/>
      </c>
      <c r="H8" s="27">
        <f>Inputs!G31</f>
        <v/>
      </c>
      <c r="I8" s="27">
        <f>Inputs!H31</f>
        <v/>
      </c>
      <c r="J8" s="27">
        <f>Inputs!I31</f>
        <v/>
      </c>
      <c r="K8" s="27">
        <f>Inputs!J31</f>
        <v/>
      </c>
      <c r="L8" s="27">
        <f>Inputs!K31</f>
        <v/>
      </c>
    </row>
    <row r="9">
      <c r="A9" s="7" t="inlineStr">
        <is>
          <t>(-) Stock-based comp</t>
        </is>
      </c>
      <c r="C9" s="14">
        <f>-C5*Inputs!B35</f>
        <v/>
      </c>
      <c r="D9" s="14">
        <f>-D5*Inputs!C35</f>
        <v/>
      </c>
      <c r="E9" s="14">
        <f>-E5*Inputs!D35</f>
        <v/>
      </c>
      <c r="F9" s="14">
        <f>-F5*Inputs!E35</f>
        <v/>
      </c>
      <c r="G9" s="14">
        <f>-G5*Inputs!F35</f>
        <v/>
      </c>
      <c r="H9" s="14">
        <f>-H5*Inputs!G35</f>
        <v/>
      </c>
      <c r="I9" s="14">
        <f>-I5*Inputs!H35</f>
        <v/>
      </c>
      <c r="J9" s="14">
        <f>-J5*Inputs!I35</f>
        <v/>
      </c>
      <c r="K9" s="14">
        <f>-K5*Inputs!J35</f>
        <v/>
      </c>
      <c r="L9" s="14">
        <f>-L5*Inputs!K35</f>
        <v/>
      </c>
    </row>
    <row r="10">
      <c r="A10" s="7" t="inlineStr">
        <is>
          <t>(-) Depreciation</t>
        </is>
      </c>
      <c r="C10" s="14">
        <f>-C5*Inputs!B36</f>
        <v/>
      </c>
      <c r="D10" s="14">
        <f>-D5*Inputs!C36</f>
        <v/>
      </c>
      <c r="E10" s="14">
        <f>-E5*Inputs!D36</f>
        <v/>
      </c>
      <c r="F10" s="14">
        <f>-F5*Inputs!E36</f>
        <v/>
      </c>
      <c r="G10" s="14">
        <f>-G5*Inputs!F36</f>
        <v/>
      </c>
      <c r="H10" s="14">
        <f>-H5*Inputs!G36</f>
        <v/>
      </c>
      <c r="I10" s="14">
        <f>-I5*Inputs!H36</f>
        <v/>
      </c>
      <c r="J10" s="14">
        <f>-J5*Inputs!I36</f>
        <v/>
      </c>
      <c r="K10" s="14">
        <f>-K5*Inputs!J36</f>
        <v/>
      </c>
      <c r="L10" s="14">
        <f>-L5*Inputs!K36</f>
        <v/>
      </c>
    </row>
    <row r="11">
      <c r="A11" s="7" t="inlineStr">
        <is>
          <t>EBITA (EBIT excl. acquired-intangible amortization)</t>
        </is>
      </c>
      <c r="C11" s="14">
        <f>C7+C9+C10</f>
        <v/>
      </c>
      <c r="D11" s="14">
        <f>D7+D9+D10</f>
        <v/>
      </c>
      <c r="E11" s="14">
        <f>E7+E9+E10</f>
        <v/>
      </c>
      <c r="F11" s="14">
        <f>F7+F9+F10</f>
        <v/>
      </c>
      <c r="G11" s="14">
        <f>G7+G9+G10</f>
        <v/>
      </c>
      <c r="H11" s="14">
        <f>H7+H9+H10</f>
        <v/>
      </c>
      <c r="I11" s="14">
        <f>I7+I9+I10</f>
        <v/>
      </c>
      <c r="J11" s="14">
        <f>J7+J9+J10</f>
        <v/>
      </c>
      <c r="K11" s="14">
        <f>K7+K9+K10</f>
        <v/>
      </c>
      <c r="L11" s="14">
        <f>L7+L9+L10</f>
        <v/>
      </c>
    </row>
    <row r="12">
      <c r="A12" s="7" t="inlineStr">
        <is>
          <t>(-) Cash taxes</t>
        </is>
      </c>
      <c r="C12" s="14">
        <f>-MAX(0,C11)*Inputs!B39</f>
        <v/>
      </c>
      <c r="D12" s="14">
        <f>-MAX(0,D11)*Inputs!C39</f>
        <v/>
      </c>
      <c r="E12" s="14">
        <f>-MAX(0,E11)*Inputs!D39</f>
        <v/>
      </c>
      <c r="F12" s="14">
        <f>-MAX(0,F11)*Inputs!E39</f>
        <v/>
      </c>
      <c r="G12" s="14">
        <f>-MAX(0,G11)*Inputs!F39</f>
        <v/>
      </c>
      <c r="H12" s="14">
        <f>-MAX(0,H11)*Inputs!G39</f>
        <v/>
      </c>
      <c r="I12" s="14">
        <f>-MAX(0,I11)*Inputs!H39</f>
        <v/>
      </c>
      <c r="J12" s="14">
        <f>-MAX(0,J11)*Inputs!I39</f>
        <v/>
      </c>
      <c r="K12" s="14">
        <f>-MAX(0,K11)*Inputs!J39</f>
        <v/>
      </c>
      <c r="L12" s="14">
        <f>-MAX(0,L11)*Inputs!K39</f>
        <v/>
      </c>
    </row>
    <row r="13">
      <c r="A13" s="12" t="inlineStr">
        <is>
          <t>NOPAT</t>
        </is>
      </c>
      <c r="C13" s="14">
        <f>C11+C12</f>
        <v/>
      </c>
      <c r="D13" s="14">
        <f>D11+D12</f>
        <v/>
      </c>
      <c r="E13" s="14">
        <f>E11+E12</f>
        <v/>
      </c>
      <c r="F13" s="14">
        <f>F11+F12</f>
        <v/>
      </c>
      <c r="G13" s="14">
        <f>G11+G12</f>
        <v/>
      </c>
      <c r="H13" s="14">
        <f>H11+H12</f>
        <v/>
      </c>
      <c r="I13" s="14">
        <f>I11+I12</f>
        <v/>
      </c>
      <c r="J13" s="14">
        <f>J11+J12</f>
        <v/>
      </c>
      <c r="K13" s="14">
        <f>K11+K12</f>
        <v/>
      </c>
      <c r="L13" s="14">
        <f>L11+L12</f>
        <v/>
      </c>
    </row>
    <row r="14">
      <c r="A14" s="7" t="inlineStr">
        <is>
          <t>(+) Depreciation</t>
        </is>
      </c>
      <c r="C14" s="14">
        <f>-C10</f>
        <v/>
      </c>
      <c r="D14" s="14">
        <f>-D10</f>
        <v/>
      </c>
      <c r="E14" s="14">
        <f>-E10</f>
        <v/>
      </c>
      <c r="F14" s="14">
        <f>-F10</f>
        <v/>
      </c>
      <c r="G14" s="14">
        <f>-G10</f>
        <v/>
      </c>
      <c r="H14" s="14">
        <f>-H10</f>
        <v/>
      </c>
      <c r="I14" s="14">
        <f>-I10</f>
        <v/>
      </c>
      <c r="J14" s="14">
        <f>-J10</f>
        <v/>
      </c>
      <c r="K14" s="14">
        <f>-K10</f>
        <v/>
      </c>
      <c r="L14" s="14">
        <f>-L10</f>
        <v/>
      </c>
    </row>
    <row r="15">
      <c r="A15" s="7" t="inlineStr">
        <is>
          <t>(-) Capex</t>
        </is>
      </c>
      <c r="C15" s="14">
        <f>-C5*Inputs!B37</f>
        <v/>
      </c>
      <c r="D15" s="14">
        <f>-D5*Inputs!C37</f>
        <v/>
      </c>
      <c r="E15" s="14">
        <f>-E5*Inputs!D37</f>
        <v/>
      </c>
      <c r="F15" s="14">
        <f>-F5*Inputs!E37</f>
        <v/>
      </c>
      <c r="G15" s="14">
        <f>-G5*Inputs!F37</f>
        <v/>
      </c>
      <c r="H15" s="14">
        <f>-H5*Inputs!G37</f>
        <v/>
      </c>
      <c r="I15" s="14">
        <f>-I5*Inputs!H37</f>
        <v/>
      </c>
      <c r="J15" s="14">
        <f>-J5*Inputs!I37</f>
        <v/>
      </c>
      <c r="K15" s="14">
        <f>-K5*Inputs!J37</f>
        <v/>
      </c>
      <c r="L15" s="14">
        <f>-L5*Inputs!K37</f>
        <v/>
      </c>
    </row>
    <row r="16">
      <c r="A16" s="7" t="inlineStr">
        <is>
          <t>(-) Increase in NWC</t>
        </is>
      </c>
      <c r="C16" s="14">
        <f>-(C5-B5)*Inputs!B38</f>
        <v/>
      </c>
      <c r="D16" s="14">
        <f>-(D5-C5)*Inputs!C38</f>
        <v/>
      </c>
      <c r="E16" s="14">
        <f>-(E5-D5)*Inputs!D38</f>
        <v/>
      </c>
      <c r="F16" s="14">
        <f>-(F5-E5)*Inputs!E38</f>
        <v/>
      </c>
      <c r="G16" s="14">
        <f>-(G5-F5)*Inputs!F38</f>
        <v/>
      </c>
      <c r="H16" s="14">
        <f>-(H5-G5)*Inputs!G38</f>
        <v/>
      </c>
      <c r="I16" s="14">
        <f>-(I5-H5)*Inputs!H38</f>
        <v/>
      </c>
      <c r="J16" s="14">
        <f>-(J5-I5)*Inputs!I38</f>
        <v/>
      </c>
      <c r="K16" s="14">
        <f>-(K5-J5)*Inputs!J38</f>
        <v/>
      </c>
      <c r="L16" s="14">
        <f>-(L5-K5)*Inputs!K38</f>
        <v/>
      </c>
    </row>
    <row r="17">
      <c r="A17" s="12" t="inlineStr">
        <is>
          <t>Unlevered free cash flow</t>
        </is>
      </c>
      <c r="B17" s="31" t="n"/>
      <c r="C17" s="32">
        <f>C13+C14+C15+C16</f>
        <v/>
      </c>
      <c r="D17" s="32">
        <f>D13+D14+D15+D16</f>
        <v/>
      </c>
      <c r="E17" s="32">
        <f>E13+E14+E15+E16</f>
        <v/>
      </c>
      <c r="F17" s="32">
        <f>F13+F14+F15+F16</f>
        <v/>
      </c>
      <c r="G17" s="32">
        <f>G13+G14+G15+G16</f>
        <v/>
      </c>
      <c r="H17" s="32">
        <f>H13+H14+H15+H16</f>
        <v/>
      </c>
      <c r="I17" s="32">
        <f>I13+I14+I15+I16</f>
        <v/>
      </c>
      <c r="J17" s="32">
        <f>J13+J14+J15+J16</f>
        <v/>
      </c>
      <c r="K17" s="32">
        <f>K13+K14+K15+K16</f>
        <v/>
      </c>
      <c r="L17" s="32">
        <f>L13+L14+L15+L16</f>
        <v/>
      </c>
    </row>
    <row r="18">
      <c r="A18" s="7" t="inlineStr">
        <is>
          <t xml:space="preserve">  UFCF margin %</t>
        </is>
      </c>
      <c r="C18" s="20">
        <f>C17/C5</f>
        <v/>
      </c>
      <c r="D18" s="20">
        <f>D17/D5</f>
        <v/>
      </c>
      <c r="E18" s="20">
        <f>E17/E5</f>
        <v/>
      </c>
      <c r="F18" s="20">
        <f>F17/F5</f>
        <v/>
      </c>
      <c r="G18" s="20">
        <f>G17/G5</f>
        <v/>
      </c>
      <c r="H18" s="20">
        <f>H17/H5</f>
        <v/>
      </c>
      <c r="I18" s="20">
        <f>I17/I5</f>
        <v/>
      </c>
      <c r="J18" s="20">
        <f>J17/J5</f>
        <v/>
      </c>
      <c r="K18" s="20">
        <f>K17/K5</f>
        <v/>
      </c>
      <c r="L18" s="20">
        <f>L17/L5</f>
        <v/>
      </c>
    </row>
    <row r="20">
      <c r="A20" s="7" t="inlineStr">
        <is>
          <t>Fraction of year in forecast</t>
        </is>
      </c>
      <c r="C20" s="33">
        <f>Inputs!$B$46</f>
        <v/>
      </c>
      <c r="D20" s="26" t="n">
        <v>1</v>
      </c>
      <c r="E20" s="26" t="n">
        <v>1</v>
      </c>
      <c r="F20" s="26" t="n">
        <v>1</v>
      </c>
      <c r="G20" s="26" t="n">
        <v>1</v>
      </c>
      <c r="H20" s="26" t="n">
        <v>1</v>
      </c>
      <c r="I20" s="26" t="n">
        <v>1</v>
      </c>
      <c r="J20" s="26" t="n">
        <v>1</v>
      </c>
      <c r="K20" s="26" t="n">
        <v>1</v>
      </c>
      <c r="L20" s="26" t="n">
        <v>1</v>
      </c>
    </row>
    <row r="21">
      <c r="A21" s="7" t="inlineStr">
        <is>
          <t>Discount period (years)</t>
        </is>
      </c>
      <c r="C21" s="24">
        <f>SUM($C$20:C20)-Inputs!$B$44*C20/2</f>
        <v/>
      </c>
      <c r="D21" s="24">
        <f>SUM($C$20:D20)-Inputs!$B$44*D20/2</f>
        <v/>
      </c>
      <c r="E21" s="24">
        <f>SUM($C$20:E20)-Inputs!$B$44*E20/2</f>
        <v/>
      </c>
      <c r="F21" s="24">
        <f>SUM($C$20:F20)-Inputs!$B$44*F20/2</f>
        <v/>
      </c>
      <c r="G21" s="24">
        <f>SUM($C$20:G20)-Inputs!$B$44*G20/2</f>
        <v/>
      </c>
      <c r="H21" s="24">
        <f>SUM($C$20:H20)-Inputs!$B$44*H20/2</f>
        <v/>
      </c>
      <c r="I21" s="24">
        <f>SUM($C$20:I20)-Inputs!$B$44*I20/2</f>
        <v/>
      </c>
      <c r="J21" s="24">
        <f>SUM($C$20:J20)-Inputs!$B$44*J20/2</f>
        <v/>
      </c>
      <c r="K21" s="24">
        <f>SUM($C$20:K20)-Inputs!$B$44*K20/2</f>
        <v/>
      </c>
      <c r="L21" s="24">
        <f>SUM($C$20:L20)-Inputs!$B$44*L20/2</f>
        <v/>
      </c>
    </row>
    <row r="22">
      <c r="A22" s="7" t="inlineStr">
        <is>
          <t>Discount factor</t>
        </is>
      </c>
      <c r="C22" s="34">
        <f>1/(1+WACC!$B$21)^C21</f>
        <v/>
      </c>
      <c r="D22" s="34">
        <f>1/(1+WACC!$B$21)^D21</f>
        <v/>
      </c>
      <c r="E22" s="34">
        <f>1/(1+WACC!$B$21)^E21</f>
        <v/>
      </c>
      <c r="F22" s="34">
        <f>1/(1+WACC!$B$21)^F21</f>
        <v/>
      </c>
      <c r="G22" s="34">
        <f>1/(1+WACC!$B$21)^G21</f>
        <v/>
      </c>
      <c r="H22" s="34">
        <f>1/(1+WACC!$B$21)^H21</f>
        <v/>
      </c>
      <c r="I22" s="34">
        <f>1/(1+WACC!$B$21)^I21</f>
        <v/>
      </c>
      <c r="J22" s="34">
        <f>1/(1+WACC!$B$21)^J21</f>
        <v/>
      </c>
      <c r="K22" s="34">
        <f>1/(1+WACC!$B$21)^K21</f>
        <v/>
      </c>
      <c r="L22" s="34">
        <f>1/(1+WACC!$B$21)^L21</f>
        <v/>
      </c>
    </row>
    <row r="23">
      <c r="A23" s="12" t="inlineStr">
        <is>
          <t>PV of UFCF</t>
        </is>
      </c>
      <c r="B23" s="31" t="n"/>
      <c r="C23" s="32">
        <f>C17*C20*C22</f>
        <v/>
      </c>
      <c r="D23" s="32">
        <f>D17*D20*D22</f>
        <v/>
      </c>
      <c r="E23" s="32">
        <f>E17*E20*E22</f>
        <v/>
      </c>
      <c r="F23" s="32">
        <f>F17*F20*F22</f>
        <v/>
      </c>
      <c r="G23" s="32">
        <f>G17*G20*G22</f>
        <v/>
      </c>
      <c r="H23" s="32">
        <f>H17*H20*H22</f>
        <v/>
      </c>
      <c r="I23" s="32">
        <f>I17*I20*I22</f>
        <v/>
      </c>
      <c r="J23" s="32">
        <f>J17*J20*J22</f>
        <v/>
      </c>
      <c r="K23" s="32">
        <f>K17*K20*K22</f>
        <v/>
      </c>
      <c r="L23" s="32">
        <f>L17*L20*L22</f>
        <v/>
      </c>
    </row>
    <row r="25">
      <c r="A25" s="4" t="inlineStr">
        <is>
          <t>FY27E UFCF is pro-rated by the stub fraction (Q1 FY27 is already partly elapsed at the valuation date). Acquired-intangible amortization is excluded from EBITA; its tax shield is conservatively ignored.</t>
        </is>
      </c>
    </row>
    <row r="26">
      <c r="A26" s="5" t="inlineStr">
        <is>
          <t>Valuation</t>
        </is>
      </c>
      <c r="B26" s="35" t="inlineStr">
        <is>
          <t>Perpetuity growth</t>
        </is>
      </c>
      <c r="C26" s="35" t="inlineStr">
        <is>
          <t>Exit multiple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7" t="inlineStr">
        <is>
          <t>WACC</t>
        </is>
      </c>
      <c r="B27" s="27">
        <f>WACC!$B$21</f>
        <v/>
      </c>
      <c r="C27" s="27">
        <f>WACC!$B$21</f>
        <v/>
      </c>
    </row>
    <row r="28">
      <c r="A28" s="7" t="inlineStr">
        <is>
          <t>Terminal growth / exit EV/EBITDA</t>
        </is>
      </c>
      <c r="B28" s="27">
        <f>Inputs!$B$42</f>
        <v/>
      </c>
      <c r="C28" s="36">
        <f>Inputs!$B$43</f>
        <v/>
      </c>
    </row>
    <row r="29">
      <c r="A29" s="7" t="inlineStr">
        <is>
          <t>Terminal-year UFCF / EBITDA</t>
        </is>
      </c>
      <c r="B29" s="14">
        <f>L17</f>
        <v/>
      </c>
      <c r="C29" s="14">
        <f>L7</f>
        <v/>
      </c>
    </row>
    <row r="30">
      <c r="A30" s="7" t="inlineStr">
        <is>
          <t>Terminal value (at FY36 year-end)</t>
        </is>
      </c>
      <c r="B30" s="14">
        <f>B29*(1+B28)/(B27-B28)</f>
        <v/>
      </c>
      <c r="C30" s="14">
        <f>C29*C28</f>
        <v/>
      </c>
    </row>
    <row r="31">
      <c r="A31" s="7" t="inlineStr">
        <is>
          <t>Discount period for TV (years)</t>
        </is>
      </c>
      <c r="B31" s="24">
        <f>SUM(C20:L20)</f>
        <v/>
      </c>
      <c r="C31" s="24">
        <f>SUM(C20:L20)</f>
        <v/>
      </c>
    </row>
    <row r="32">
      <c r="A32" s="7" t="inlineStr">
        <is>
          <t>PV of terminal value</t>
        </is>
      </c>
      <c r="B32" s="14">
        <f>B30/(1+B27)^B31</f>
        <v/>
      </c>
      <c r="C32" s="14">
        <f>C30/(1+C27)^C31</f>
        <v/>
      </c>
    </row>
    <row r="33">
      <c r="A33" s="7" t="inlineStr">
        <is>
          <t>Sum of PV of UFCF</t>
        </is>
      </c>
      <c r="B33" s="14">
        <f>SUM(C23:L23)</f>
        <v/>
      </c>
      <c r="C33" s="14">
        <f>SUM(C23:L23)</f>
        <v/>
      </c>
    </row>
    <row r="34">
      <c r="A34" s="12" t="inlineStr">
        <is>
          <t>Enterprise value</t>
        </is>
      </c>
      <c r="B34" s="15">
        <f>B32+B33</f>
        <v/>
      </c>
      <c r="C34" s="15">
        <f>C32+C33</f>
        <v/>
      </c>
    </row>
    <row r="35">
      <c r="A35" s="7" t="inlineStr">
        <is>
          <t xml:space="preserve">  PV of TV as % of EV</t>
        </is>
      </c>
      <c r="B35" s="20">
        <f>B32/B34</f>
        <v/>
      </c>
      <c r="C35" s="20">
        <f>C32/C34</f>
        <v/>
      </c>
    </row>
    <row r="36">
      <c r="A36" s="7" t="inlineStr">
        <is>
          <t>(-) Debt</t>
        </is>
      </c>
      <c r="B36" s="29">
        <f>-Inputs!$B$10</f>
        <v/>
      </c>
      <c r="C36" s="29">
        <f>-Inputs!$B$10</f>
        <v/>
      </c>
    </row>
    <row r="37">
      <c r="A37" s="7" t="inlineStr">
        <is>
          <t>(+) Cash</t>
        </is>
      </c>
      <c r="B37" s="29">
        <f>Inputs!$B$11</f>
        <v/>
      </c>
      <c r="C37" s="29">
        <f>Inputs!$B$11</f>
        <v/>
      </c>
    </row>
    <row r="38">
      <c r="A38" s="12" t="inlineStr">
        <is>
          <t>Equity value</t>
        </is>
      </c>
      <c r="B38" s="15">
        <f>B34+B36+B37</f>
        <v/>
      </c>
      <c r="C38" s="15">
        <f>C34+C36+C37</f>
        <v/>
      </c>
    </row>
    <row r="39">
      <c r="A39" s="7" t="inlineStr">
        <is>
          <t>Fully diluted shares (mm)</t>
        </is>
      </c>
      <c r="B39" s="37">
        <f>Inputs!$B$13</f>
        <v/>
      </c>
      <c r="C39" s="37">
        <f>Inputs!$B$13</f>
        <v/>
      </c>
    </row>
    <row r="40">
      <c r="A40" s="12" t="inlineStr">
        <is>
          <t>Implied share price ($)</t>
        </is>
      </c>
      <c r="B40" s="38">
        <f>B38/B39</f>
        <v/>
      </c>
      <c r="C40" s="38">
        <f>C38/C39</f>
        <v/>
      </c>
    </row>
    <row r="41">
      <c r="A41" s="7" t="inlineStr">
        <is>
          <t>Current share price ($)</t>
        </is>
      </c>
      <c r="B41" s="39">
        <f>Inputs!$B$6</f>
        <v/>
      </c>
      <c r="C41" s="39">
        <f>Inputs!$B$6</f>
        <v/>
      </c>
    </row>
    <row r="42">
      <c r="A42" s="7" t="inlineStr">
        <is>
          <t>Upside / (downside)</t>
        </is>
      </c>
      <c r="B42" s="20">
        <f>B40/B41-1</f>
        <v/>
      </c>
      <c r="C42" s="20">
        <f>C40/C41-1</f>
        <v/>
      </c>
    </row>
    <row r="43">
      <c r="A43" s="7" t="inlineStr">
        <is>
          <t>Implied EV / FY27E EBITDA</t>
        </is>
      </c>
      <c r="B43" s="40">
        <f>B34/C7</f>
        <v/>
      </c>
      <c r="C43" s="40">
        <f>C34/C7</f>
        <v/>
      </c>
    </row>
    <row r="44">
      <c r="A44" s="7" t="inlineStr">
        <is>
          <t>Implied terminal EV/EBITDA  |  implied perpetuity growth</t>
        </is>
      </c>
      <c r="B44" s="40">
        <f>B30/L7</f>
        <v/>
      </c>
      <c r="C44" s="20">
        <f>(C30*C27-L17)/(C30+L17)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DCF Sensitivities - implied share price ($)</t>
        </is>
      </c>
    </row>
    <row r="2">
      <c r="A2" s="4" t="inlineStr">
        <is>
          <t>Each cell recomputes the full DCF with SUMPRODUCT across the DCF sheet's UFCF row (active case).</t>
        </is>
      </c>
    </row>
    <row r="4">
      <c r="A4" s="12" t="inlineStr">
        <is>
          <t>Perpetuity-growth method</t>
        </is>
      </c>
    </row>
    <row r="5">
      <c r="A5" s="4" t="inlineStr">
        <is>
          <t>WACC  \  terminal growth</t>
        </is>
      </c>
      <c r="C5" s="41" t="n">
        <v>0.02</v>
      </c>
      <c r="D5" s="41" t="n">
        <v>0.025</v>
      </c>
      <c r="E5" s="41" t="n">
        <v>0.03</v>
      </c>
      <c r="F5" s="41" t="n">
        <v>0.035</v>
      </c>
      <c r="G5" s="41" t="n">
        <v>0.04</v>
      </c>
    </row>
    <row r="6">
      <c r="B6" s="28">
        <f>WACC!$B$21+(-0.02)</f>
        <v/>
      </c>
      <c r="C6" s="42">
        <f>(SUMPRODUCT(DCF!$C$17:$L$17,DCF!$C$20:$L$20,1/(1+$B6)^DCF!$C$21:$L$21)+(DCF!$L$17*(1+C$5)/($B6-C$5))/(1+$B6)^DCF!$B$31+(-Inputs!$B$10+Inputs!$B$11))/Inputs!$B$13</f>
        <v/>
      </c>
      <c r="D6" s="42">
        <f>(SUMPRODUCT(DCF!$C$17:$L$17,DCF!$C$20:$L$20,1/(1+$B6)^DCF!$C$21:$L$21)+(DCF!$L$17*(1+D$5)/($B6-D$5))/(1+$B6)^DCF!$B$31+(-Inputs!$B$10+Inputs!$B$11))/Inputs!$B$13</f>
        <v/>
      </c>
      <c r="E6" s="42">
        <f>(SUMPRODUCT(DCF!$C$17:$L$17,DCF!$C$20:$L$20,1/(1+$B6)^DCF!$C$21:$L$21)+(DCF!$L$17*(1+E$5)/($B6-E$5))/(1+$B6)^DCF!$B$31+(-Inputs!$B$10+Inputs!$B$11))/Inputs!$B$13</f>
        <v/>
      </c>
      <c r="F6" s="42">
        <f>(SUMPRODUCT(DCF!$C$17:$L$17,DCF!$C$20:$L$20,1/(1+$B6)^DCF!$C$21:$L$21)+(DCF!$L$17*(1+F$5)/($B6-F$5))/(1+$B6)^DCF!$B$31+(-Inputs!$B$10+Inputs!$B$11))/Inputs!$B$13</f>
        <v/>
      </c>
      <c r="G6" s="42">
        <f>(SUMPRODUCT(DCF!$C$17:$L$17,DCF!$C$20:$L$20,1/(1+$B6)^DCF!$C$21:$L$21)+(DCF!$L$17*(1+G$5)/($B6-G$5))/(1+$B6)^DCF!$B$31+(-Inputs!$B$10+Inputs!$B$11))/Inputs!$B$13</f>
        <v/>
      </c>
    </row>
    <row r="7">
      <c r="B7" s="28">
        <f>WACC!$B$21+(-0.01)</f>
        <v/>
      </c>
      <c r="C7" s="42">
        <f>(SUMPRODUCT(DCF!$C$17:$L$17,DCF!$C$20:$L$20,1/(1+$B7)^DCF!$C$21:$L$21)+(DCF!$L$17*(1+C$5)/($B7-C$5))/(1+$B7)^DCF!$B$31+(-Inputs!$B$10+Inputs!$B$11))/Inputs!$B$13</f>
        <v/>
      </c>
      <c r="D7" s="42">
        <f>(SUMPRODUCT(DCF!$C$17:$L$17,DCF!$C$20:$L$20,1/(1+$B7)^DCF!$C$21:$L$21)+(DCF!$L$17*(1+D$5)/($B7-D$5))/(1+$B7)^DCF!$B$31+(-Inputs!$B$10+Inputs!$B$11))/Inputs!$B$13</f>
        <v/>
      </c>
      <c r="E7" s="42">
        <f>(SUMPRODUCT(DCF!$C$17:$L$17,DCF!$C$20:$L$20,1/(1+$B7)^DCF!$C$21:$L$21)+(DCF!$L$17*(1+E$5)/($B7-E$5))/(1+$B7)^DCF!$B$31+(-Inputs!$B$10+Inputs!$B$11))/Inputs!$B$13</f>
        <v/>
      </c>
      <c r="F7" s="42">
        <f>(SUMPRODUCT(DCF!$C$17:$L$17,DCF!$C$20:$L$20,1/(1+$B7)^DCF!$C$21:$L$21)+(DCF!$L$17*(1+F$5)/($B7-F$5))/(1+$B7)^DCF!$B$31+(-Inputs!$B$10+Inputs!$B$11))/Inputs!$B$13</f>
        <v/>
      </c>
      <c r="G7" s="42">
        <f>(SUMPRODUCT(DCF!$C$17:$L$17,DCF!$C$20:$L$20,1/(1+$B7)^DCF!$C$21:$L$21)+(DCF!$L$17*(1+G$5)/($B7-G$5))/(1+$B7)^DCF!$B$31+(-Inputs!$B$10+Inputs!$B$11))/Inputs!$B$13</f>
        <v/>
      </c>
    </row>
    <row r="8">
      <c r="B8" s="28">
        <f>WACC!$B$21+(0)</f>
        <v/>
      </c>
      <c r="C8" s="42">
        <f>(SUMPRODUCT(DCF!$C$17:$L$17,DCF!$C$20:$L$20,1/(1+$B8)^DCF!$C$21:$L$21)+(DCF!$L$17*(1+C$5)/($B8-C$5))/(1+$B8)^DCF!$B$31+(-Inputs!$B$10+Inputs!$B$11))/Inputs!$B$13</f>
        <v/>
      </c>
      <c r="D8" s="42">
        <f>(SUMPRODUCT(DCF!$C$17:$L$17,DCF!$C$20:$L$20,1/(1+$B8)^DCF!$C$21:$L$21)+(DCF!$L$17*(1+D$5)/($B8-D$5))/(1+$B8)^DCF!$B$31+(-Inputs!$B$10+Inputs!$B$11))/Inputs!$B$13</f>
        <v/>
      </c>
      <c r="E8" s="43">
        <f>(SUMPRODUCT(DCF!$C$17:$L$17,DCF!$C$20:$L$20,1/(1+$B8)^DCF!$C$21:$L$21)+(DCF!$L$17*(1+E$5)/($B8-E$5))/(1+$B8)^DCF!$B$31+(-Inputs!$B$10+Inputs!$B$11))/Inputs!$B$13</f>
        <v/>
      </c>
      <c r="F8" s="42">
        <f>(SUMPRODUCT(DCF!$C$17:$L$17,DCF!$C$20:$L$20,1/(1+$B8)^DCF!$C$21:$L$21)+(DCF!$L$17*(1+F$5)/($B8-F$5))/(1+$B8)^DCF!$B$31+(-Inputs!$B$10+Inputs!$B$11))/Inputs!$B$13</f>
        <v/>
      </c>
      <c r="G8" s="42">
        <f>(SUMPRODUCT(DCF!$C$17:$L$17,DCF!$C$20:$L$20,1/(1+$B8)^DCF!$C$21:$L$21)+(DCF!$L$17*(1+G$5)/($B8-G$5))/(1+$B8)^DCF!$B$31+(-Inputs!$B$10+Inputs!$B$11))/Inputs!$B$13</f>
        <v/>
      </c>
    </row>
    <row r="9">
      <c r="B9" s="28">
        <f>WACC!$B$21+(0.01)</f>
        <v/>
      </c>
      <c r="C9" s="42">
        <f>(SUMPRODUCT(DCF!$C$17:$L$17,DCF!$C$20:$L$20,1/(1+$B9)^DCF!$C$21:$L$21)+(DCF!$L$17*(1+C$5)/($B9-C$5))/(1+$B9)^DCF!$B$31+(-Inputs!$B$10+Inputs!$B$11))/Inputs!$B$13</f>
        <v/>
      </c>
      <c r="D9" s="42">
        <f>(SUMPRODUCT(DCF!$C$17:$L$17,DCF!$C$20:$L$20,1/(1+$B9)^DCF!$C$21:$L$21)+(DCF!$L$17*(1+D$5)/($B9-D$5))/(1+$B9)^DCF!$B$31+(-Inputs!$B$10+Inputs!$B$11))/Inputs!$B$13</f>
        <v/>
      </c>
      <c r="E9" s="42">
        <f>(SUMPRODUCT(DCF!$C$17:$L$17,DCF!$C$20:$L$20,1/(1+$B9)^DCF!$C$21:$L$21)+(DCF!$L$17*(1+E$5)/($B9-E$5))/(1+$B9)^DCF!$B$31+(-Inputs!$B$10+Inputs!$B$11))/Inputs!$B$13</f>
        <v/>
      </c>
      <c r="F9" s="42">
        <f>(SUMPRODUCT(DCF!$C$17:$L$17,DCF!$C$20:$L$20,1/(1+$B9)^DCF!$C$21:$L$21)+(DCF!$L$17*(1+F$5)/($B9-F$5))/(1+$B9)^DCF!$B$31+(-Inputs!$B$10+Inputs!$B$11))/Inputs!$B$13</f>
        <v/>
      </c>
      <c r="G9" s="42">
        <f>(SUMPRODUCT(DCF!$C$17:$L$17,DCF!$C$20:$L$20,1/(1+$B9)^DCF!$C$21:$L$21)+(DCF!$L$17*(1+G$5)/($B9-G$5))/(1+$B9)^DCF!$B$31+(-Inputs!$B$10+Inputs!$B$11))/Inputs!$B$13</f>
        <v/>
      </c>
    </row>
    <row r="10">
      <c r="B10" s="28">
        <f>WACC!$B$21+(0.02)</f>
        <v/>
      </c>
      <c r="C10" s="42">
        <f>(SUMPRODUCT(DCF!$C$17:$L$17,DCF!$C$20:$L$20,1/(1+$B10)^DCF!$C$21:$L$21)+(DCF!$L$17*(1+C$5)/($B10-C$5))/(1+$B10)^DCF!$B$31+(-Inputs!$B$10+Inputs!$B$11))/Inputs!$B$13</f>
        <v/>
      </c>
      <c r="D10" s="42">
        <f>(SUMPRODUCT(DCF!$C$17:$L$17,DCF!$C$20:$L$20,1/(1+$B10)^DCF!$C$21:$L$21)+(DCF!$L$17*(1+D$5)/($B10-D$5))/(1+$B10)^DCF!$B$31+(-Inputs!$B$10+Inputs!$B$11))/Inputs!$B$13</f>
        <v/>
      </c>
      <c r="E10" s="42">
        <f>(SUMPRODUCT(DCF!$C$17:$L$17,DCF!$C$20:$L$20,1/(1+$B10)^DCF!$C$21:$L$21)+(DCF!$L$17*(1+E$5)/($B10-E$5))/(1+$B10)^DCF!$B$31+(-Inputs!$B$10+Inputs!$B$11))/Inputs!$B$13</f>
        <v/>
      </c>
      <c r="F10" s="42">
        <f>(SUMPRODUCT(DCF!$C$17:$L$17,DCF!$C$20:$L$20,1/(1+$B10)^DCF!$C$21:$L$21)+(DCF!$L$17*(1+F$5)/($B10-F$5))/(1+$B10)^DCF!$B$31+(-Inputs!$B$10+Inputs!$B$11))/Inputs!$B$13</f>
        <v/>
      </c>
      <c r="G10" s="42">
        <f>(SUMPRODUCT(DCF!$C$17:$L$17,DCF!$C$20:$L$20,1/(1+$B10)^DCF!$C$21:$L$21)+(DCF!$L$17*(1+G$5)/($B10-G$5))/(1+$B10)^DCF!$B$31+(-Inputs!$B$10+Inputs!$B$11))/Inputs!$B$13</f>
        <v/>
      </c>
    </row>
    <row r="12">
      <c r="A12" s="12" t="inlineStr">
        <is>
          <t>Exit-multiple method</t>
        </is>
      </c>
    </row>
    <row r="13">
      <c r="A13" s="4" t="inlineStr">
        <is>
          <t>WACC  \  exit multiple</t>
        </is>
      </c>
      <c r="C13" s="44" t="n">
        <v>10</v>
      </c>
      <c r="D13" s="44" t="n">
        <v>12</v>
      </c>
      <c r="E13" s="44" t="n">
        <v>14</v>
      </c>
      <c r="F13" s="44" t="n">
        <v>16</v>
      </c>
      <c r="G13" s="44" t="n">
        <v>18</v>
      </c>
    </row>
    <row r="14">
      <c r="B14" s="28">
        <f>WACC!$B$21+(-0.02)</f>
        <v/>
      </c>
      <c r="C14" s="42">
        <f>(SUMPRODUCT(DCF!$C$17:$L$17,DCF!$C$20:$L$20,1/(1+$B14)^DCF!$C$21:$L$21)+(DCF!$L$7*C$13)/(1+$B14)^DCF!$B$31+(-Inputs!$B$10+Inputs!$B$11))/Inputs!$B$13</f>
        <v/>
      </c>
      <c r="D14" s="42">
        <f>(SUMPRODUCT(DCF!$C$17:$L$17,DCF!$C$20:$L$20,1/(1+$B14)^DCF!$C$21:$L$21)+(DCF!$L$7*D$13)/(1+$B14)^DCF!$B$31+(-Inputs!$B$10+Inputs!$B$11))/Inputs!$B$13</f>
        <v/>
      </c>
      <c r="E14" s="42">
        <f>(SUMPRODUCT(DCF!$C$17:$L$17,DCF!$C$20:$L$20,1/(1+$B14)^DCF!$C$21:$L$21)+(DCF!$L$7*E$13)/(1+$B14)^DCF!$B$31+(-Inputs!$B$10+Inputs!$B$11))/Inputs!$B$13</f>
        <v/>
      </c>
      <c r="F14" s="42">
        <f>(SUMPRODUCT(DCF!$C$17:$L$17,DCF!$C$20:$L$20,1/(1+$B14)^DCF!$C$21:$L$21)+(DCF!$L$7*F$13)/(1+$B14)^DCF!$B$31+(-Inputs!$B$10+Inputs!$B$11))/Inputs!$B$13</f>
        <v/>
      </c>
      <c r="G14" s="42">
        <f>(SUMPRODUCT(DCF!$C$17:$L$17,DCF!$C$20:$L$20,1/(1+$B14)^DCF!$C$21:$L$21)+(DCF!$L$7*G$13)/(1+$B14)^DCF!$B$31+(-Inputs!$B$10+Inputs!$B$11))/Inputs!$B$13</f>
        <v/>
      </c>
    </row>
    <row r="15">
      <c r="B15" s="28">
        <f>WACC!$B$21+(-0.01)</f>
        <v/>
      </c>
      <c r="C15" s="42">
        <f>(SUMPRODUCT(DCF!$C$17:$L$17,DCF!$C$20:$L$20,1/(1+$B15)^DCF!$C$21:$L$21)+(DCF!$L$7*C$13)/(1+$B15)^DCF!$B$31+(-Inputs!$B$10+Inputs!$B$11))/Inputs!$B$13</f>
        <v/>
      </c>
      <c r="D15" s="42">
        <f>(SUMPRODUCT(DCF!$C$17:$L$17,DCF!$C$20:$L$20,1/(1+$B15)^DCF!$C$21:$L$21)+(DCF!$L$7*D$13)/(1+$B15)^DCF!$B$31+(-Inputs!$B$10+Inputs!$B$11))/Inputs!$B$13</f>
        <v/>
      </c>
      <c r="E15" s="42">
        <f>(SUMPRODUCT(DCF!$C$17:$L$17,DCF!$C$20:$L$20,1/(1+$B15)^DCF!$C$21:$L$21)+(DCF!$L$7*E$13)/(1+$B15)^DCF!$B$31+(-Inputs!$B$10+Inputs!$B$11))/Inputs!$B$13</f>
        <v/>
      </c>
      <c r="F15" s="42">
        <f>(SUMPRODUCT(DCF!$C$17:$L$17,DCF!$C$20:$L$20,1/(1+$B15)^DCF!$C$21:$L$21)+(DCF!$L$7*F$13)/(1+$B15)^DCF!$B$31+(-Inputs!$B$10+Inputs!$B$11))/Inputs!$B$13</f>
        <v/>
      </c>
      <c r="G15" s="42">
        <f>(SUMPRODUCT(DCF!$C$17:$L$17,DCF!$C$20:$L$20,1/(1+$B15)^DCF!$C$21:$L$21)+(DCF!$L$7*G$13)/(1+$B15)^DCF!$B$31+(-Inputs!$B$10+Inputs!$B$11))/Inputs!$B$13</f>
        <v/>
      </c>
    </row>
    <row r="16">
      <c r="B16" s="28">
        <f>WACC!$B$21+(0)</f>
        <v/>
      </c>
      <c r="C16" s="42">
        <f>(SUMPRODUCT(DCF!$C$17:$L$17,DCF!$C$20:$L$20,1/(1+$B16)^DCF!$C$21:$L$21)+(DCF!$L$7*C$13)/(1+$B16)^DCF!$B$31+(-Inputs!$B$10+Inputs!$B$11))/Inputs!$B$13</f>
        <v/>
      </c>
      <c r="D16" s="42">
        <f>(SUMPRODUCT(DCF!$C$17:$L$17,DCF!$C$20:$L$20,1/(1+$B16)^DCF!$C$21:$L$21)+(DCF!$L$7*D$13)/(1+$B16)^DCF!$B$31+(-Inputs!$B$10+Inputs!$B$11))/Inputs!$B$13</f>
        <v/>
      </c>
      <c r="E16" s="43">
        <f>(SUMPRODUCT(DCF!$C$17:$L$17,DCF!$C$20:$L$20,1/(1+$B16)^DCF!$C$21:$L$21)+(DCF!$L$7*E$13)/(1+$B16)^DCF!$B$31+(-Inputs!$B$10+Inputs!$B$11))/Inputs!$B$13</f>
        <v/>
      </c>
      <c r="F16" s="42">
        <f>(SUMPRODUCT(DCF!$C$17:$L$17,DCF!$C$20:$L$20,1/(1+$B16)^DCF!$C$21:$L$21)+(DCF!$L$7*F$13)/(1+$B16)^DCF!$B$31+(-Inputs!$B$10+Inputs!$B$11))/Inputs!$B$13</f>
        <v/>
      </c>
      <c r="G16" s="42">
        <f>(SUMPRODUCT(DCF!$C$17:$L$17,DCF!$C$20:$L$20,1/(1+$B16)^DCF!$C$21:$L$21)+(DCF!$L$7*G$13)/(1+$B16)^DCF!$B$31+(-Inputs!$B$10+Inputs!$B$11))/Inputs!$B$13</f>
        <v/>
      </c>
    </row>
    <row r="17">
      <c r="B17" s="28">
        <f>WACC!$B$21+(0.01)</f>
        <v/>
      </c>
      <c r="C17" s="42">
        <f>(SUMPRODUCT(DCF!$C$17:$L$17,DCF!$C$20:$L$20,1/(1+$B17)^DCF!$C$21:$L$21)+(DCF!$L$7*C$13)/(1+$B17)^DCF!$B$31+(-Inputs!$B$10+Inputs!$B$11))/Inputs!$B$13</f>
        <v/>
      </c>
      <c r="D17" s="42">
        <f>(SUMPRODUCT(DCF!$C$17:$L$17,DCF!$C$20:$L$20,1/(1+$B17)^DCF!$C$21:$L$21)+(DCF!$L$7*D$13)/(1+$B17)^DCF!$B$31+(-Inputs!$B$10+Inputs!$B$11))/Inputs!$B$13</f>
        <v/>
      </c>
      <c r="E17" s="42">
        <f>(SUMPRODUCT(DCF!$C$17:$L$17,DCF!$C$20:$L$20,1/(1+$B17)^DCF!$C$21:$L$21)+(DCF!$L$7*E$13)/(1+$B17)^DCF!$B$31+(-Inputs!$B$10+Inputs!$B$11))/Inputs!$B$13</f>
        <v/>
      </c>
      <c r="F17" s="42">
        <f>(SUMPRODUCT(DCF!$C$17:$L$17,DCF!$C$20:$L$20,1/(1+$B17)^DCF!$C$21:$L$21)+(DCF!$L$7*F$13)/(1+$B17)^DCF!$B$31+(-Inputs!$B$10+Inputs!$B$11))/Inputs!$B$13</f>
        <v/>
      </c>
      <c r="G17" s="42">
        <f>(SUMPRODUCT(DCF!$C$17:$L$17,DCF!$C$20:$L$20,1/(1+$B17)^DCF!$C$21:$L$21)+(DCF!$L$7*G$13)/(1+$B17)^DCF!$B$31+(-Inputs!$B$10+Inputs!$B$11))/Inputs!$B$13</f>
        <v/>
      </c>
    </row>
    <row r="18">
      <c r="B18" s="28">
        <f>WACC!$B$21+(0.02)</f>
        <v/>
      </c>
      <c r="C18" s="42">
        <f>(SUMPRODUCT(DCF!$C$17:$L$17,DCF!$C$20:$L$20,1/(1+$B18)^DCF!$C$21:$L$21)+(DCF!$L$7*C$13)/(1+$B18)^DCF!$B$31+(-Inputs!$B$10+Inputs!$B$11))/Inputs!$B$13</f>
        <v/>
      </c>
      <c r="D18" s="42">
        <f>(SUMPRODUCT(DCF!$C$17:$L$17,DCF!$C$20:$L$20,1/(1+$B18)^DCF!$C$21:$L$21)+(DCF!$L$7*D$13)/(1+$B18)^DCF!$B$31+(-Inputs!$B$10+Inputs!$B$11))/Inputs!$B$13</f>
        <v/>
      </c>
      <c r="E18" s="42">
        <f>(SUMPRODUCT(DCF!$C$17:$L$17,DCF!$C$20:$L$20,1/(1+$B18)^DCF!$C$21:$L$21)+(DCF!$L$7*E$13)/(1+$B18)^DCF!$B$31+(-Inputs!$B$10+Inputs!$B$11))/Inputs!$B$13</f>
        <v/>
      </c>
      <c r="F18" s="42">
        <f>(SUMPRODUCT(DCF!$C$17:$L$17,DCF!$C$20:$L$20,1/(1+$B18)^DCF!$C$21:$L$21)+(DCF!$L$7*F$13)/(1+$B18)^DCF!$B$31+(-Inputs!$B$10+Inputs!$B$11))/Inputs!$B$13</f>
        <v/>
      </c>
      <c r="G18" s="42">
        <f>(SUMPRODUCT(DCF!$C$17:$L$17,DCF!$C$20:$L$20,1/(1+$B18)^DCF!$C$21:$L$21)+(DCF!$L$7*G$13)/(1+$B18)^DCF!$B$31+(-Inputs!$B$10+Inputs!$B$11))/Inputs!$B$13</f>
        <v/>
      </c>
    </row>
    <row r="20">
      <c r="A20" s="4" t="inlineStr">
        <is>
          <t>Base-case scenario table: flip Inputs!B20 (1/2/3) to see Bull / Bear on every sheet.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Trading Comparables - Electrical / Power Infrastructure Equipment</t>
        </is>
      </c>
    </row>
    <row r="2">
      <c r="A2" s="4" t="inlineStr">
        <is>
          <t>Market data as of 25-Sep-2026 close. $mm (local currency for non-US listings; multiples are currency-neutral). Consensus estimates are calendar-year. Blue = sourced input (see cell comments / notes below).</t>
        </is>
      </c>
    </row>
    <row r="4" ht="42" customHeight="1">
      <c r="A4" s="17" t="inlineStr">
        <is>
          <t>Company</t>
        </is>
      </c>
      <c r="B4" s="17" t="inlineStr">
        <is>
          <t>Ticker</t>
        </is>
      </c>
      <c r="C4" s="17" t="inlineStr">
        <is>
          <t>Share price</t>
        </is>
      </c>
      <c r="D4" s="17" t="inlineStr">
        <is>
          <t>Diluted shares (mm)</t>
        </is>
      </c>
      <c r="E4" s="17" t="inlineStr">
        <is>
          <t>Market cap</t>
        </is>
      </c>
      <c r="F4" s="17" t="inlineStr">
        <is>
          <t>Debt</t>
        </is>
      </c>
      <c r="G4" s="17" t="inlineStr">
        <is>
          <t>Cash</t>
        </is>
      </c>
      <c r="H4" s="17" t="inlineStr">
        <is>
          <t>Enterprise value</t>
        </is>
      </c>
      <c r="I4" s="17" t="inlineStr">
        <is>
          <t>LTM revenue</t>
        </is>
      </c>
      <c r="J4" s="17" t="inlineStr">
        <is>
          <t>LTM EBITDA</t>
        </is>
      </c>
      <c r="K4" s="17" t="inlineStr">
        <is>
          <t>CY26E revenue</t>
        </is>
      </c>
      <c r="L4" s="17" t="inlineStr">
        <is>
          <t>CY27E revenue</t>
        </is>
      </c>
      <c r="M4" s="17" t="inlineStr">
        <is>
          <t>CY26E EBITDA</t>
        </is>
      </c>
      <c r="N4" s="17" t="inlineStr">
        <is>
          <t>CY27E EBITDA</t>
        </is>
      </c>
      <c r="O4" s="17" t="inlineStr">
        <is>
          <t>EV / LTM rev</t>
        </is>
      </c>
      <c r="P4" s="17" t="inlineStr">
        <is>
          <t>EV / CY26E rev</t>
        </is>
      </c>
      <c r="Q4" s="17" t="inlineStr">
        <is>
          <t>EV / LTM EBITDA</t>
        </is>
      </c>
      <c r="R4" s="17" t="inlineStr">
        <is>
          <t>EV / CY26E EBITDA</t>
        </is>
      </c>
      <c r="S4" s="17" t="inlineStr">
        <is>
          <t>EV / CY27E EBITDA</t>
        </is>
      </c>
      <c r="T4" s="17" t="inlineStr">
        <is>
          <t>CY26-27E rev growth</t>
        </is>
      </c>
      <c r="U4" s="17" t="inlineStr">
        <is>
          <t>CY26E EBITDA margin</t>
        </is>
      </c>
    </row>
    <row r="5">
      <c r="A5" s="7" t="inlineStr">
        <is>
          <t>Vertiv</t>
        </is>
      </c>
      <c r="B5" s="7" t="inlineStr">
        <is>
          <t>VRT</t>
        </is>
      </c>
      <c r="C5" s="9" t="n">
        <v>253.28</v>
      </c>
      <c r="D5" s="10" t="n">
        <v>384.99</v>
      </c>
      <c r="E5" s="14">
        <f>C5*D5</f>
        <v/>
      </c>
      <c r="F5" s="18" t="n">
        <v>3340</v>
      </c>
      <c r="G5" s="18" t="n">
        <v>3110</v>
      </c>
      <c r="H5" s="14">
        <f>E5+F5-G5</f>
        <v/>
      </c>
      <c r="I5" s="18" t="n">
        <v>11480</v>
      </c>
      <c r="J5" s="18" t="n">
        <v>2680</v>
      </c>
      <c r="K5" s="18" t="n">
        <v>14019</v>
      </c>
      <c r="L5" s="18" t="n">
        <v>18239</v>
      </c>
      <c r="M5" s="18" t="n">
        <v>3488</v>
      </c>
      <c r="N5" s="18" t="n">
        <v>4817</v>
      </c>
      <c r="O5" s="40">
        <f>IF(ISNUMBER(I5),IF(I5&gt;0,H5/I5,"n/m"),"n/a")</f>
        <v/>
      </c>
      <c r="P5" s="40">
        <f>IF(ISNUMBER(K5),IF(K5&gt;0,H5/K5,"n/m"),"n/a")</f>
        <v/>
      </c>
      <c r="Q5" s="40">
        <f>IF(ISNUMBER(J5),IF(J5&gt;0,H5/J5,"n/m"),"n/a")</f>
        <v/>
      </c>
      <c r="R5" s="40">
        <f>IF(ISNUMBER(M5),IF(M5&gt;0,H5/M5,"n/m"),"n/a")</f>
        <v/>
      </c>
      <c r="S5" s="40">
        <f>IF(ISNUMBER(N5),IF(N5&gt;0,H5/N5,"n/m"),"n/a")</f>
        <v/>
      </c>
      <c r="T5" s="20">
        <f>IF(AND(ISNUMBER(K5),ISNUMBER(L5)),L5/K5-1,"n/a")</f>
        <v/>
      </c>
      <c r="U5" s="20">
        <f>IF(AND(ISNUMBER(K5),ISNUMBER(M5)),M5/K5,"n/a")</f>
        <v/>
      </c>
    </row>
    <row r="6">
      <c r="A6" s="7" t="inlineStr">
        <is>
          <t>Eaton</t>
        </is>
      </c>
      <c r="B6" s="7" t="inlineStr">
        <is>
          <t>ETN</t>
        </is>
      </c>
      <c r="C6" s="9" t="n">
        <v>439.98</v>
      </c>
      <c r="D6" s="10" t="n">
        <v>388.4</v>
      </c>
      <c r="E6" s="14">
        <f>C6*D6</f>
        <v/>
      </c>
      <c r="F6" s="18" t="n">
        <v>21330</v>
      </c>
      <c r="G6" s="18" t="n">
        <v>695</v>
      </c>
      <c r="H6" s="14">
        <f>E6+F6-G6</f>
        <v/>
      </c>
      <c r="I6" s="18" t="n">
        <v>30030</v>
      </c>
      <c r="J6" s="18" t="n">
        <v>6640</v>
      </c>
      <c r="K6" s="18" t="n">
        <v>32683</v>
      </c>
      <c r="L6" s="18" t="n">
        <v>36626</v>
      </c>
      <c r="M6" s="18" t="n">
        <v>7754</v>
      </c>
      <c r="N6" s="18" t="n">
        <v>8991</v>
      </c>
      <c r="O6" s="40">
        <f>IF(ISNUMBER(I6),IF(I6&gt;0,H6/I6,"n/m"),"n/a")</f>
        <v/>
      </c>
      <c r="P6" s="40">
        <f>IF(ISNUMBER(K6),IF(K6&gt;0,H6/K6,"n/m"),"n/a")</f>
        <v/>
      </c>
      <c r="Q6" s="40">
        <f>IF(ISNUMBER(J6),IF(J6&gt;0,H6/J6,"n/m"),"n/a")</f>
        <v/>
      </c>
      <c r="R6" s="40">
        <f>IF(ISNUMBER(M6),IF(M6&gt;0,H6/M6,"n/m"),"n/a")</f>
        <v/>
      </c>
      <c r="S6" s="40">
        <f>IF(ISNUMBER(N6),IF(N6&gt;0,H6/N6,"n/m"),"n/a")</f>
        <v/>
      </c>
      <c r="T6" s="20">
        <f>IF(AND(ISNUMBER(K6),ISNUMBER(L6)),L6/K6-1,"n/a")</f>
        <v/>
      </c>
      <c r="U6" s="20">
        <f>IF(AND(ISNUMBER(K6),ISNUMBER(M6)),M6/K6,"n/a")</f>
        <v/>
      </c>
    </row>
    <row r="7">
      <c r="A7" s="7" t="inlineStr">
        <is>
          <t>GE Vernova</t>
        </is>
      </c>
      <c r="B7" s="7" t="inlineStr">
        <is>
          <t>GEV</t>
        </is>
      </c>
      <c r="C7" s="9" t="n">
        <v>957.63</v>
      </c>
      <c r="D7" s="10" t="n">
        <v>266.33</v>
      </c>
      <c r="E7" s="14">
        <f>C7*D7</f>
        <v/>
      </c>
      <c r="F7" s="18" t="n">
        <v>3720</v>
      </c>
      <c r="G7" s="18" t="n">
        <v>12720</v>
      </c>
      <c r="H7" s="14">
        <f>E7+F7-G7</f>
        <v/>
      </c>
      <c r="I7" s="18" t="n">
        <v>41370</v>
      </c>
      <c r="J7" s="18" t="n">
        <v>3930</v>
      </c>
      <c r="K7" s="18" t="n">
        <v>46282</v>
      </c>
      <c r="L7" s="18" t="n">
        <v>52740</v>
      </c>
      <c r="M7" s="18" t="n">
        <v>6359</v>
      </c>
      <c r="N7" s="18" t="n">
        <v>9574</v>
      </c>
      <c r="O7" s="40">
        <f>IF(ISNUMBER(I7),IF(I7&gt;0,H7/I7,"n/m"),"n/a")</f>
        <v/>
      </c>
      <c r="P7" s="40">
        <f>IF(ISNUMBER(K7),IF(K7&gt;0,H7/K7,"n/m"),"n/a")</f>
        <v/>
      </c>
      <c r="Q7" s="40">
        <f>IF(ISNUMBER(J7),IF(J7&gt;0,H7/J7,"n/m"),"n/a")</f>
        <v/>
      </c>
      <c r="R7" s="40">
        <f>IF(ISNUMBER(M7),IF(M7&gt;0,H7/M7,"n/m"),"n/a")</f>
        <v/>
      </c>
      <c r="S7" s="40">
        <f>IF(ISNUMBER(N7),IF(N7&gt;0,H7/N7,"n/m"),"n/a")</f>
        <v/>
      </c>
      <c r="T7" s="20">
        <f>IF(AND(ISNUMBER(K7),ISNUMBER(L7)),L7/K7-1,"n/a")</f>
        <v/>
      </c>
      <c r="U7" s="20">
        <f>IF(AND(ISNUMBER(K7),ISNUMBER(M7)),M7/K7,"n/a")</f>
        <v/>
      </c>
    </row>
    <row r="8">
      <c r="A8" s="7" t="inlineStr">
        <is>
          <t>Powell Industries (FYE Sep)</t>
        </is>
      </c>
      <c r="B8" s="7" t="inlineStr">
        <is>
          <t>POWL</t>
        </is>
      </c>
      <c r="C8" s="9" t="n">
        <v>189.53</v>
      </c>
      <c r="D8" s="10" t="n">
        <v>36.43</v>
      </c>
      <c r="E8" s="14">
        <f>C8*D8</f>
        <v/>
      </c>
      <c r="F8" s="18" t="n">
        <v>2.5</v>
      </c>
      <c r="G8" s="18" t="n">
        <v>633.6</v>
      </c>
      <c r="H8" s="14">
        <f>E8+F8-G8</f>
        <v/>
      </c>
      <c r="I8" s="18" t="n">
        <v>1160</v>
      </c>
      <c r="J8" s="18" t="n">
        <v>236.2</v>
      </c>
      <c r="K8" s="18" t="n">
        <v>1191</v>
      </c>
      <c r="L8" s="18" t="n">
        <v>1483</v>
      </c>
      <c r="M8" s="18" t="n">
        <v>244.1</v>
      </c>
      <c r="N8" s="18" t="n">
        <v>315</v>
      </c>
      <c r="O8" s="40">
        <f>IF(ISNUMBER(I8),IF(I8&gt;0,H8/I8,"n/m"),"n/a")</f>
        <v/>
      </c>
      <c r="P8" s="40">
        <f>IF(ISNUMBER(K8),IF(K8&gt;0,H8/K8,"n/m"),"n/a")</f>
        <v/>
      </c>
      <c r="Q8" s="40">
        <f>IF(ISNUMBER(J8),IF(J8&gt;0,H8/J8,"n/m"),"n/a")</f>
        <v/>
      </c>
      <c r="R8" s="40">
        <f>IF(ISNUMBER(M8),IF(M8&gt;0,H8/M8,"n/m"),"n/a")</f>
        <v/>
      </c>
      <c r="S8" s="40">
        <f>IF(ISNUMBER(N8),IF(N8&gt;0,H8/N8,"n/m"),"n/a")</f>
        <v/>
      </c>
      <c r="T8" s="20">
        <f>IF(AND(ISNUMBER(K8),ISNUMBER(L8)),L8/K8-1,"n/a")</f>
        <v/>
      </c>
      <c r="U8" s="20">
        <f>IF(AND(ISNUMBER(K8),ISNUMBER(M8)),M8/K8,"n/a")</f>
        <v/>
      </c>
    </row>
    <row r="9">
      <c r="A9" s="7" t="inlineStr">
        <is>
          <t>Hubbell</t>
        </is>
      </c>
      <c r="B9" s="7" t="inlineStr">
        <is>
          <t>HUBB</t>
        </is>
      </c>
      <c r="C9" s="9" t="n">
        <v>466.62</v>
      </c>
      <c r="D9" s="10" t="n">
        <v>52.83</v>
      </c>
      <c r="E9" s="14">
        <f>C9*D9</f>
        <v/>
      </c>
      <c r="F9" s="18" t="n">
        <v>5560</v>
      </c>
      <c r="G9" s="18" t="n">
        <v>394.7</v>
      </c>
      <c r="H9" s="14">
        <f>E9+F9-G9</f>
        <v/>
      </c>
      <c r="I9" s="18" t="n">
        <v>6220</v>
      </c>
      <c r="J9" s="18" t="n">
        <v>1520</v>
      </c>
      <c r="K9" s="18" t="n">
        <v>6871</v>
      </c>
      <c r="L9" s="18" t="n">
        <v>7572</v>
      </c>
      <c r="M9" s="18" t="n">
        <v>1688</v>
      </c>
      <c r="N9" s="18" t="n">
        <v>1923</v>
      </c>
      <c r="O9" s="40">
        <f>IF(ISNUMBER(I9),IF(I9&gt;0,H9/I9,"n/m"),"n/a")</f>
        <v/>
      </c>
      <c r="P9" s="40">
        <f>IF(ISNUMBER(K9),IF(K9&gt;0,H9/K9,"n/m"),"n/a")</f>
        <v/>
      </c>
      <c r="Q9" s="40">
        <f>IF(ISNUMBER(J9),IF(J9&gt;0,H9/J9,"n/m"),"n/a")</f>
        <v/>
      </c>
      <c r="R9" s="40">
        <f>IF(ISNUMBER(M9),IF(M9&gt;0,H9/M9,"n/m"),"n/a")</f>
        <v/>
      </c>
      <c r="S9" s="40">
        <f>IF(ISNUMBER(N9),IF(N9&gt;0,H9/N9,"n/m"),"n/a")</f>
        <v/>
      </c>
      <c r="T9" s="20">
        <f>IF(AND(ISNUMBER(K9),ISNUMBER(L9)),L9/K9-1,"n/a")</f>
        <v/>
      </c>
      <c r="U9" s="20">
        <f>IF(AND(ISNUMBER(K9),ISNUMBER(M9)),M9/K9,"n/a")</f>
        <v/>
      </c>
    </row>
    <row r="10">
      <c r="A10" s="7" t="inlineStr">
        <is>
          <t>nVent Electric</t>
        </is>
      </c>
      <c r="B10" s="7" t="inlineStr">
        <is>
          <t>NVT</t>
        </is>
      </c>
      <c r="C10" s="9" t="n">
        <v>164.41</v>
      </c>
      <c r="D10" s="10" t="n">
        <v>161.86</v>
      </c>
      <c r="E10" s="14">
        <f>C10*D10</f>
        <v/>
      </c>
      <c r="F10" s="18" t="n">
        <v>1630</v>
      </c>
      <c r="G10" s="18" t="n">
        <v>256</v>
      </c>
      <c r="H10" s="14">
        <f>E10+F10-G10</f>
        <v/>
      </c>
      <c r="I10" s="18" t="n">
        <v>4830</v>
      </c>
      <c r="J10" s="18" t="n">
        <v>1050</v>
      </c>
      <c r="K10" s="18" t="n">
        <v>5460</v>
      </c>
      <c r="L10" s="18" t="n">
        <v>6421</v>
      </c>
      <c r="M10" s="18" t="n">
        <v>1217</v>
      </c>
      <c r="N10" s="18" t="n">
        <v>1443</v>
      </c>
      <c r="O10" s="40">
        <f>IF(ISNUMBER(I10),IF(I10&gt;0,H10/I10,"n/m"),"n/a")</f>
        <v/>
      </c>
      <c r="P10" s="40">
        <f>IF(ISNUMBER(K10),IF(K10&gt;0,H10/K10,"n/m"),"n/a")</f>
        <v/>
      </c>
      <c r="Q10" s="40">
        <f>IF(ISNUMBER(J10),IF(J10&gt;0,H10/J10,"n/m"),"n/a")</f>
        <v/>
      </c>
      <c r="R10" s="40">
        <f>IF(ISNUMBER(M10),IF(M10&gt;0,H10/M10,"n/m"),"n/a")</f>
        <v/>
      </c>
      <c r="S10" s="40">
        <f>IF(ISNUMBER(N10),IF(N10&gt;0,H10/N10,"n/m"),"n/a")</f>
        <v/>
      </c>
      <c r="T10" s="20">
        <f>IF(AND(ISNUMBER(K10),ISNUMBER(L10)),L10/K10-1,"n/a")</f>
        <v/>
      </c>
      <c r="U10" s="20">
        <f>IF(AND(ISNUMBER(K10),ISNUMBER(M10)),M10/K10,"n/a")</f>
        <v/>
      </c>
    </row>
    <row r="11">
      <c r="A11" s="7" t="inlineStr">
        <is>
          <t>Schneider Electric (EUR)</t>
        </is>
      </c>
      <c r="B11" s="7" t="inlineStr">
        <is>
          <t>SU FP</t>
        </is>
      </c>
      <c r="C11" s="9" t="n">
        <v>291</v>
      </c>
      <c r="D11" s="10" t="n">
        <v>562.33</v>
      </c>
      <c r="E11" s="14">
        <f>C11*D11</f>
        <v/>
      </c>
      <c r="F11" s="18" t="n">
        <v>20810</v>
      </c>
      <c r="G11" s="18" t="n">
        <v>4520</v>
      </c>
      <c r="H11" s="14">
        <f>E11+F11-G11</f>
        <v/>
      </c>
      <c r="I11" s="18" t="n">
        <v>42040</v>
      </c>
      <c r="J11" s="18" t="n">
        <v>8520</v>
      </c>
      <c r="K11" s="18" t="n">
        <v>44918</v>
      </c>
      <c r="L11" s="18" t="n">
        <v>49022</v>
      </c>
      <c r="M11" s="18" t="n">
        <v>9719</v>
      </c>
      <c r="N11" s="18" t="n">
        <v>11171</v>
      </c>
      <c r="O11" s="40">
        <f>IF(ISNUMBER(I11),IF(I11&gt;0,H11/I11,"n/m"),"n/a")</f>
        <v/>
      </c>
      <c r="P11" s="40">
        <f>IF(ISNUMBER(K11),IF(K11&gt;0,H11/K11,"n/m"),"n/a")</f>
        <v/>
      </c>
      <c r="Q11" s="40">
        <f>IF(ISNUMBER(J11),IF(J11&gt;0,H11/J11,"n/m"),"n/a")</f>
        <v/>
      </c>
      <c r="R11" s="40">
        <f>IF(ISNUMBER(M11),IF(M11&gt;0,H11/M11,"n/m"),"n/a")</f>
        <v/>
      </c>
      <c r="S11" s="40">
        <f>IF(ISNUMBER(N11),IF(N11&gt;0,H11/N11,"n/m"),"n/a")</f>
        <v/>
      </c>
      <c r="T11" s="20">
        <f>IF(AND(ISNUMBER(K11),ISNUMBER(L11)),L11/K11-1,"n/a")</f>
        <v/>
      </c>
      <c r="U11" s="20">
        <f>IF(AND(ISNUMBER(K11),ISNUMBER(M11)),M11/K11,"n/a")</f>
        <v/>
      </c>
    </row>
    <row r="12">
      <c r="A12" s="7" t="inlineStr">
        <is>
          <t>Legrand (EUR)</t>
        </is>
      </c>
      <c r="B12" s="7" t="inlineStr">
        <is>
          <t>LR FP</t>
        </is>
      </c>
      <c r="C12" s="9" t="n">
        <v>134.85</v>
      </c>
      <c r="D12" s="10" t="n">
        <v>262.14</v>
      </c>
      <c r="E12" s="14">
        <f>C12*D12</f>
        <v/>
      </c>
      <c r="F12" s="18" t="n">
        <v>7720</v>
      </c>
      <c r="G12" s="18" t="n">
        <v>1970</v>
      </c>
      <c r="H12" s="14">
        <f>E12+F12-G12</f>
        <v/>
      </c>
      <c r="I12" s="18" t="n">
        <v>10110</v>
      </c>
      <c r="J12" s="18" t="n">
        <v>2220</v>
      </c>
      <c r="K12" s="18" t="n">
        <v>11031</v>
      </c>
      <c r="L12" s="18" t="n">
        <v>12193</v>
      </c>
      <c r="M12" s="18" t="n">
        <v>2622</v>
      </c>
      <c r="N12" s="18" t="n">
        <v>2939</v>
      </c>
      <c r="O12" s="40">
        <f>IF(ISNUMBER(I12),IF(I12&gt;0,H12/I12,"n/m"),"n/a")</f>
        <v/>
      </c>
      <c r="P12" s="40">
        <f>IF(ISNUMBER(K12),IF(K12&gt;0,H12/K12,"n/m"),"n/a")</f>
        <v/>
      </c>
      <c r="Q12" s="40">
        <f>IF(ISNUMBER(J12),IF(J12&gt;0,H12/J12,"n/m"),"n/a")</f>
        <v/>
      </c>
      <c r="R12" s="40">
        <f>IF(ISNUMBER(M12),IF(M12&gt;0,H12/M12,"n/m"),"n/a")</f>
        <v/>
      </c>
      <c r="S12" s="40">
        <f>IF(ISNUMBER(N12),IF(N12&gt;0,H12/N12,"n/m"),"n/a")</f>
        <v/>
      </c>
      <c r="T12" s="20">
        <f>IF(AND(ISNUMBER(K12),ISNUMBER(L12)),L12/K12-1,"n/a")</f>
        <v/>
      </c>
      <c r="U12" s="20">
        <f>IF(AND(ISNUMBER(K12),ISNUMBER(M12)),M12/K12,"n/a")</f>
        <v/>
      </c>
    </row>
    <row r="13">
      <c r="A13" s="7" t="inlineStr">
        <is>
          <t>Hammond Power Solutions (CAD, pro forma AEG)</t>
        </is>
      </c>
      <c r="B13" s="7" t="inlineStr">
        <is>
          <t>HPS.A CN</t>
        </is>
      </c>
      <c r="C13" s="9" t="n">
        <v>279.22</v>
      </c>
      <c r="D13" s="10" t="n">
        <v>11.9</v>
      </c>
      <c r="E13" s="14">
        <f>C13*D13</f>
        <v/>
      </c>
      <c r="F13" s="18" t="n">
        <v>505</v>
      </c>
      <c r="G13" s="18" t="n">
        <v>33.63</v>
      </c>
      <c r="H13" s="14">
        <f>E13+F13-G13</f>
        <v/>
      </c>
      <c r="I13" s="18" t="n">
        <v>1060</v>
      </c>
      <c r="J13" s="45" t="inlineStr">
        <is>
          <t>n/a</t>
        </is>
      </c>
      <c r="K13" s="18" t="n">
        <v>1409</v>
      </c>
      <c r="L13" s="18" t="n">
        <v>1708</v>
      </c>
      <c r="M13" s="18" t="n">
        <v>215.5</v>
      </c>
      <c r="N13" s="18" t="n">
        <v>263</v>
      </c>
      <c r="O13" s="40">
        <f>IF(ISNUMBER(I13),IF(I13&gt;0,H13/I13,"n/m"),"n/a")</f>
        <v/>
      </c>
      <c r="P13" s="40">
        <f>IF(ISNUMBER(K13),IF(K13&gt;0,H13/K13,"n/m"),"n/a")</f>
        <v/>
      </c>
      <c r="Q13" s="40">
        <f>IF(ISNUMBER(J13),IF(J13&gt;0,H13/J13,"n/m"),"n/a")</f>
        <v/>
      </c>
      <c r="R13" s="40">
        <f>IF(ISNUMBER(M13),IF(M13&gt;0,H13/M13,"n/m"),"n/a")</f>
        <v/>
      </c>
      <c r="S13" s="40">
        <f>IF(ISNUMBER(N13),IF(N13&gt;0,H13/N13,"n/m"),"n/a")</f>
        <v/>
      </c>
      <c r="T13" s="20">
        <f>IF(AND(ISNUMBER(K13),ISNUMBER(L13)),L13/K13-1,"n/a")</f>
        <v/>
      </c>
      <c r="U13" s="20">
        <f>IF(AND(ISNUMBER(K13),ISNUMBER(M13)),M13/K13,"n/a")</f>
        <v/>
      </c>
    </row>
    <row r="15">
      <c r="A15" s="12" t="inlineStr">
        <is>
          <t>Maximum</t>
        </is>
      </c>
      <c r="O15" s="46">
        <f>MAX(O5:O13)</f>
        <v/>
      </c>
      <c r="P15" s="46">
        <f>MAX(P5:P13)</f>
        <v/>
      </c>
      <c r="Q15" s="46">
        <f>MAX(Q5:Q13)</f>
        <v/>
      </c>
      <c r="R15" s="46">
        <f>MAX(R5:R13)</f>
        <v/>
      </c>
      <c r="S15" s="46">
        <f>MAX(S5:S13)</f>
        <v/>
      </c>
      <c r="T15" s="28">
        <f>MAX(T5:T13)</f>
        <v/>
      </c>
      <c r="U15" s="28">
        <f>MAX(U5:U13)</f>
        <v/>
      </c>
    </row>
    <row r="16">
      <c r="A16" s="12" t="inlineStr">
        <is>
          <t>75th percentile</t>
        </is>
      </c>
      <c r="O16" s="46">
        <f>QUARTILE(O5:O13,3)</f>
        <v/>
      </c>
      <c r="P16" s="46">
        <f>QUARTILE(P5:P13,3)</f>
        <v/>
      </c>
      <c r="Q16" s="46">
        <f>QUARTILE(Q5:Q13,3)</f>
        <v/>
      </c>
      <c r="R16" s="46">
        <f>QUARTILE(R5:R13,3)</f>
        <v/>
      </c>
      <c r="S16" s="46">
        <f>QUARTILE(S5:S13,3)</f>
        <v/>
      </c>
      <c r="T16" s="28">
        <f>QUARTILE(T5:T13,3)</f>
        <v/>
      </c>
      <c r="U16" s="28">
        <f>QUARTILE(U5:U13,3)</f>
        <v/>
      </c>
    </row>
    <row r="17">
      <c r="A17" s="12" t="inlineStr">
        <is>
          <t>Mean</t>
        </is>
      </c>
      <c r="O17" s="46">
        <f>AVERAGE(O5:O13)</f>
        <v/>
      </c>
      <c r="P17" s="46">
        <f>AVERAGE(P5:P13)</f>
        <v/>
      </c>
      <c r="Q17" s="46">
        <f>AVERAGE(Q5:Q13)</f>
        <v/>
      </c>
      <c r="R17" s="46">
        <f>AVERAGE(R5:R13)</f>
        <v/>
      </c>
      <c r="S17" s="46">
        <f>AVERAGE(S5:S13)</f>
        <v/>
      </c>
      <c r="T17" s="28">
        <f>AVERAGE(T5:T13)</f>
        <v/>
      </c>
      <c r="U17" s="28">
        <f>AVERAGE(U5:U13)</f>
        <v/>
      </c>
    </row>
    <row r="18">
      <c r="A18" s="12" t="inlineStr">
        <is>
          <t>Median</t>
        </is>
      </c>
      <c r="O18" s="46">
        <f>MEDIAN(O5:O13)</f>
        <v/>
      </c>
      <c r="P18" s="46">
        <f>MEDIAN(P5:P13)</f>
        <v/>
      </c>
      <c r="Q18" s="46">
        <f>MEDIAN(Q5:Q13)</f>
        <v/>
      </c>
      <c r="R18" s="46">
        <f>MEDIAN(R5:R13)</f>
        <v/>
      </c>
      <c r="S18" s="46">
        <f>MEDIAN(S5:S13)</f>
        <v/>
      </c>
      <c r="T18" s="28">
        <f>MEDIAN(T5:T13)</f>
        <v/>
      </c>
      <c r="U18" s="28">
        <f>MEDIAN(U5:U13)</f>
        <v/>
      </c>
    </row>
    <row r="19">
      <c r="A19" s="12" t="inlineStr">
        <is>
          <t>25th percentile</t>
        </is>
      </c>
      <c r="O19" s="46">
        <f>QUARTILE(O5:O13,1)</f>
        <v/>
      </c>
      <c r="P19" s="46">
        <f>QUARTILE(P5:P13,1)</f>
        <v/>
      </c>
      <c r="Q19" s="46">
        <f>QUARTILE(Q5:Q13,1)</f>
        <v/>
      </c>
      <c r="R19" s="46">
        <f>QUARTILE(R5:R13,1)</f>
        <v/>
      </c>
      <c r="S19" s="46">
        <f>QUARTILE(S5:S13,1)</f>
        <v/>
      </c>
      <c r="T19" s="28">
        <f>QUARTILE(T5:T13,1)</f>
        <v/>
      </c>
      <c r="U19" s="28">
        <f>QUARTILE(U5:U13,1)</f>
        <v/>
      </c>
    </row>
    <row r="20">
      <c r="A20" s="12" t="inlineStr">
        <is>
          <t>Minimum</t>
        </is>
      </c>
      <c r="O20" s="46">
        <f>MIN(O5:O13)</f>
        <v/>
      </c>
      <c r="P20" s="46">
        <f>MIN(P5:P13)</f>
        <v/>
      </c>
      <c r="Q20" s="46">
        <f>MIN(Q5:Q13)</f>
        <v/>
      </c>
      <c r="R20" s="46">
        <f>MIN(R5:R13)</f>
        <v/>
      </c>
      <c r="S20" s="46">
        <f>MIN(S5:S13)</f>
        <v/>
      </c>
      <c r="T20" s="28">
        <f>MIN(T5:T13)</f>
        <v/>
      </c>
      <c r="U20" s="28">
        <f>MIN(U5:U13)</f>
        <v/>
      </c>
    </row>
    <row r="22">
      <c r="A22" s="12" t="inlineStr">
        <is>
          <t>Forgent Power Solutions (at market)</t>
        </is>
      </c>
      <c r="B22" s="7" t="inlineStr">
        <is>
          <t>FPS</t>
        </is>
      </c>
      <c r="C22" s="39">
        <f>Inputs!$B$6</f>
        <v/>
      </c>
      <c r="D22" s="37">
        <f>Inputs!$B$13</f>
        <v/>
      </c>
      <c r="E22" s="14">
        <f>C22*D22</f>
        <v/>
      </c>
      <c r="F22" s="29">
        <f>Inputs!$B$10</f>
        <v/>
      </c>
      <c r="G22" s="29">
        <f>Inputs!$B$11</f>
        <v/>
      </c>
      <c r="H22" s="14">
        <f>E22+F22-G22</f>
        <v/>
      </c>
      <c r="I22" s="29">
        <f>Historicals!C5</f>
        <v/>
      </c>
      <c r="J22" s="29">
        <f>Historicals!C14</f>
        <v/>
      </c>
      <c r="K22" s="14">
        <f>0.5*Historicals!C5+0.5*DCF!C5</f>
        <v/>
      </c>
      <c r="L22" s="14">
        <f>0.5*DCF!C5+0.5*DCF!D5</f>
        <v/>
      </c>
      <c r="M22" s="14">
        <f>0.5*Historicals!C14+0.5*DCF!C7</f>
        <v/>
      </c>
      <c r="N22" s="14">
        <f>0.5*DCF!C7+0.5*DCF!D7</f>
        <v/>
      </c>
      <c r="O22" s="46">
        <f>H22/I22</f>
        <v/>
      </c>
      <c r="P22" s="46">
        <f>H22/K22</f>
        <v/>
      </c>
      <c r="Q22" s="46">
        <f>H22/J22</f>
        <v/>
      </c>
      <c r="R22" s="46">
        <f>H22/M22</f>
        <v/>
      </c>
      <c r="S22" s="46">
        <f>H22/N22</f>
        <v/>
      </c>
      <c r="T22" s="20">
        <f>L22/K22-1</f>
        <v/>
      </c>
      <c r="U22" s="20">
        <f>M22/K22</f>
        <v/>
      </c>
    </row>
    <row r="25">
      <c r="A25" s="5" t="inlineStr">
        <is>
          <t>Implied FPS valuation from peer multiples (25th percentile - median - 75th percentile)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17" t="inlineStr">
        <is>
          <t>Metric</t>
        </is>
      </c>
      <c r="B26" s="17" t="inlineStr"/>
      <c r="C26" s="17" t="inlineStr">
        <is>
          <t>FPS metric</t>
        </is>
      </c>
      <c r="D26" s="17" t="inlineStr">
        <is>
          <t>25th pct</t>
        </is>
      </c>
      <c r="E26" s="17" t="inlineStr">
        <is>
          <t>Median</t>
        </is>
      </c>
      <c r="F26" s="17" t="inlineStr">
        <is>
          <t>75th pct</t>
        </is>
      </c>
      <c r="G26" s="17" t="inlineStr">
        <is>
          <t>EV low</t>
        </is>
      </c>
      <c r="H26" s="17" t="inlineStr">
        <is>
          <t>EV mid</t>
        </is>
      </c>
      <c r="I26" s="17" t="inlineStr">
        <is>
          <t>EV high</t>
        </is>
      </c>
      <c r="J26" s="17" t="inlineStr">
        <is>
          <t>Price low</t>
        </is>
      </c>
      <c r="K26" s="17" t="inlineStr">
        <is>
          <t>Price mid</t>
        </is>
      </c>
      <c r="L26" s="17" t="inlineStr">
        <is>
          <t>Price high</t>
        </is>
      </c>
    </row>
    <row r="27">
      <c r="A27" s="7" t="inlineStr">
        <is>
          <t>EV / CY26E EBITDA</t>
        </is>
      </c>
      <c r="C27" s="14">
        <f>M22</f>
        <v/>
      </c>
      <c r="D27" s="40">
        <f>R19</f>
        <v/>
      </c>
      <c r="E27" s="40">
        <f>R18</f>
        <v/>
      </c>
      <c r="F27" s="40">
        <f>R16</f>
        <v/>
      </c>
      <c r="G27" s="14">
        <f>$C27*D27</f>
        <v/>
      </c>
      <c r="H27" s="14">
        <f>$C27*E27</f>
        <v/>
      </c>
      <c r="I27" s="14">
        <f>$C27*F27</f>
        <v/>
      </c>
      <c r="J27" s="47">
        <f>(G27+(-Inputs!$B$10+Inputs!$B$11))/Inputs!$B$13</f>
        <v/>
      </c>
      <c r="K27" s="47">
        <f>(H27+(-Inputs!$B$10+Inputs!$B$11))/Inputs!$B$13</f>
        <v/>
      </c>
      <c r="L27" s="47">
        <f>(I27+(-Inputs!$B$10+Inputs!$B$11))/Inputs!$B$13</f>
        <v/>
      </c>
    </row>
    <row r="28">
      <c r="A28" s="7" t="inlineStr">
        <is>
          <t>EV / CY27E EBITDA</t>
        </is>
      </c>
      <c r="C28" s="14">
        <f>N22</f>
        <v/>
      </c>
      <c r="D28" s="40">
        <f>S19</f>
        <v/>
      </c>
      <c r="E28" s="40">
        <f>S18</f>
        <v/>
      </c>
      <c r="F28" s="40">
        <f>S16</f>
        <v/>
      </c>
      <c r="G28" s="14">
        <f>$C28*D28</f>
        <v/>
      </c>
      <c r="H28" s="14">
        <f>$C28*E28</f>
        <v/>
      </c>
      <c r="I28" s="14">
        <f>$C28*F28</f>
        <v/>
      </c>
      <c r="J28" s="47">
        <f>(G28+(-Inputs!$B$10+Inputs!$B$11))/Inputs!$B$13</f>
        <v/>
      </c>
      <c r="K28" s="47">
        <f>(H28+(-Inputs!$B$10+Inputs!$B$11))/Inputs!$B$13</f>
        <v/>
      </c>
      <c r="L28" s="47">
        <f>(I28+(-Inputs!$B$10+Inputs!$B$11))/Inputs!$B$13</f>
        <v/>
      </c>
    </row>
    <row r="29">
      <c r="A29" s="7" t="inlineStr">
        <is>
          <t>EV / LTM EBITDA</t>
        </is>
      </c>
      <c r="C29" s="14">
        <f>J22</f>
        <v/>
      </c>
      <c r="D29" s="40">
        <f>Q19</f>
        <v/>
      </c>
      <c r="E29" s="40">
        <f>Q18</f>
        <v/>
      </c>
      <c r="F29" s="40">
        <f>Q16</f>
        <v/>
      </c>
      <c r="G29" s="14">
        <f>$C29*D29</f>
        <v/>
      </c>
      <c r="H29" s="14">
        <f>$C29*E29</f>
        <v/>
      </c>
      <c r="I29" s="14">
        <f>$C29*F29</f>
        <v/>
      </c>
      <c r="J29" s="47">
        <f>(G29+(-Inputs!$B$10+Inputs!$B$11))/Inputs!$B$13</f>
        <v/>
      </c>
      <c r="K29" s="47">
        <f>(H29+(-Inputs!$B$10+Inputs!$B$11))/Inputs!$B$13</f>
        <v/>
      </c>
      <c r="L29" s="47">
        <f>(I29+(-Inputs!$B$10+Inputs!$B$11))/Inputs!$B$13</f>
        <v/>
      </c>
    </row>
    <row r="31">
      <c r="A31" s="4" t="inlineStr">
        <is>
          <t>Read-across caveat: FPS is guiding +76% revenue growth for FY27 vs. low-double-digit growth for most peers, so peer multiples on near-year EBITDA understate a growth-adjusted value; the CY27E multiple is the more relevant anchor. Conversely FPS carries higher customer concentration (~59% data center) and a short public track record.</t>
        </is>
      </c>
    </row>
    <row r="32">
      <c r="A32" s="4" t="inlineStr">
        <is>
          <t>Notes: (1) LTM EBITDA is stockanalysis GAAP-basis, not company-adjusted; GE Vernova and Hammond LTM figures are distorted - prefer forward multiples.</t>
        </is>
      </c>
    </row>
    <row r="33">
      <c r="A33" s="4" t="inlineStr">
        <is>
          <t>(2) Powell's fiscal year ends Sep; others calendar. FPS is calendarized from its June FYE (see cell comments).</t>
        </is>
      </c>
    </row>
    <row r="34">
      <c r="A34" s="4" t="inlineStr">
        <is>
          <t>(3) Consensus from MarketScreener; the consensus date could not be confirmed on the page. FY26 revenue matched stockanalysis consensus as of 25-Sep-2026.</t>
        </is>
      </c>
    </row>
    <row r="35">
      <c r="A35" s="4" t="inlineStr">
        <is>
          <t>(4) Excluded: ABB (market data CHF vs. estimates USD), Mitsubishi Electric (conglomerate), Siemens Energy (gas turbines/wind dominate mix).</t>
        </is>
      </c>
    </row>
    <row r="36">
      <c r="A36" s="4" t="inlineStr">
        <is>
          <t>Sources: stockanalysis.com statistics pages; marketscreener.com /finances/ pages for each ticker; Hammond Q2-2026 release and AEG closing release (globenewswire, 29-Jun and 30-Jul-2026).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6" customWidth="1" min="10" max="10"/>
    <col width="13" customWidth="1" min="11" max="11"/>
    <col width="13" customWidth="1" min="12" max="12"/>
  </cols>
  <sheetData>
    <row r="1">
      <c r="A1" s="1" t="inlineStr">
        <is>
          <t>Precedent Transactions - Electrical Distribution &amp; Data-Center Power Infrastructure</t>
        </is>
      </c>
    </row>
    <row r="2">
      <c r="A2" s="4" t="inlineStr">
        <is>
          <t>$mm. Multiples on target LTM figures unless the Basis column says otherwise. Control premia are embedded; precedent values are therefore not directly comparable to a minority trading price.</t>
        </is>
      </c>
    </row>
    <row r="4" ht="30" customHeight="1">
      <c r="A4" s="17" t="inlineStr">
        <is>
          <t>Announced</t>
        </is>
      </c>
      <c r="B4" s="17" t="inlineStr">
        <is>
          <t>Acquirer</t>
        </is>
      </c>
      <c r="C4" s="17" t="inlineStr">
        <is>
          <t>Target</t>
        </is>
      </c>
      <c r="D4" s="17" t="inlineStr">
        <is>
          <t>Target description</t>
        </is>
      </c>
      <c r="E4" s="17" t="inlineStr">
        <is>
          <t>Enterprise value</t>
        </is>
      </c>
      <c r="F4" s="17" t="inlineStr">
        <is>
          <t>Target revenue</t>
        </is>
      </c>
      <c r="G4" s="17" t="inlineStr">
        <is>
          <t>Target EBITDA</t>
        </is>
      </c>
      <c r="H4" s="17" t="inlineStr">
        <is>
          <t>EV / revenue</t>
        </is>
      </c>
      <c r="I4" s="17" t="inlineStr">
        <is>
          <t>EV / EBITDA</t>
        </is>
      </c>
      <c r="J4" s="17" t="inlineStr">
        <is>
          <t>Basis / notes</t>
        </is>
      </c>
      <c r="K4" s="17" t="inlineStr">
        <is>
          <t>In stats (1/0)</t>
        </is>
      </c>
      <c r="L4" s="17" t="inlineStr">
        <is>
          <t>EV/rev (stats)</t>
        </is>
      </c>
      <c r="M4" s="17" t="inlineStr">
        <is>
          <t>EV/EBITDA (stats)</t>
        </is>
      </c>
    </row>
    <row r="5">
      <c r="A5" s="7" t="inlineStr">
        <is>
          <t>Sep-2026</t>
        </is>
      </c>
      <c r="B5" s="48" t="inlineStr">
        <is>
          <t>Flex</t>
        </is>
      </c>
      <c r="C5" s="48" t="inlineStr">
        <is>
          <t>EPC Power</t>
        </is>
      </c>
      <c r="D5" s="48" t="inlineStr">
        <is>
          <t>Power conversion (rectifiers, DC-DC, SSTs) for data centers and grid</t>
        </is>
      </c>
      <c r="E5" s="18" t="n">
        <v>4400</v>
      </c>
      <c r="F5" s="18" t="n">
        <v>800</v>
      </c>
      <c r="G5" s="18" t="n">
        <v>336</v>
      </c>
      <c r="H5" s="40">
        <f>IF(ISNUMBER(F5),E5/F5,"n/a")</f>
        <v/>
      </c>
      <c r="I5" s="40">
        <f>IF(ISNUMBER(G5),E5/G5,"n/a")</f>
        <v/>
      </c>
      <c r="J5" s="48" t="inlineStr">
        <is>
          <t>Rev 2026E; EBITDA 2027E derived (~40% growth, ~30% margin)</t>
        </is>
      </c>
      <c r="K5" s="49" t="n">
        <v>1</v>
      </c>
      <c r="L5" s="40">
        <f>IF(AND(K5=1,ISNUMBER(H5)),H5,"")</f>
        <v/>
      </c>
      <c r="M5" s="40">
        <f>IF(AND(K5=1,ISNUMBER(I5)),I5,"")</f>
        <v/>
      </c>
    </row>
    <row r="6">
      <c r="A6" s="7" t="inlineStr">
        <is>
          <t>Sep-2026</t>
        </is>
      </c>
      <c r="B6" s="48" t="inlineStr">
        <is>
          <t>Vertiv</t>
        </is>
      </c>
      <c r="C6" s="48" t="inlineStr">
        <is>
          <t>UtilityInnovation Group</t>
        </is>
      </c>
      <c r="D6" s="48" t="inlineStr">
        <is>
          <t>Microgrid switchgear and power controls for data centers</t>
        </is>
      </c>
      <c r="E6" s="18" t="n">
        <v>1450</v>
      </c>
      <c r="F6" s="45" t="inlineStr">
        <is>
          <t>n/a</t>
        </is>
      </c>
      <c r="G6" s="18" t="n">
        <v>112</v>
      </c>
      <c r="H6" s="40">
        <f>IF(ISNUMBER(F6),E6/F6,"n/a")</f>
        <v/>
      </c>
      <c r="I6" s="40">
        <f>IF(ISNUMBER(G6),E6/G6,"n/a")</f>
        <v/>
      </c>
      <c r="J6" s="48" t="inlineStr">
        <is>
          <t>2027E EBITDA; ~13x stated; excludes up to $1.15bn earnout</t>
        </is>
      </c>
      <c r="K6" s="49" t="n">
        <v>1</v>
      </c>
      <c r="L6" s="40">
        <f>IF(AND(K6=1,ISNUMBER(H6)),H6,"")</f>
        <v/>
      </c>
      <c r="M6" s="40">
        <f>IF(AND(K6=1,ISNUMBER(I6)),I6,"")</f>
        <v/>
      </c>
    </row>
    <row r="7">
      <c r="A7" s="7" t="inlineStr">
        <is>
          <t>Mar-2026</t>
        </is>
      </c>
      <c r="B7" s="48" t="inlineStr">
        <is>
          <t>Flex</t>
        </is>
      </c>
      <c r="C7" s="48" t="inlineStr">
        <is>
          <t>Electrical Power Products (EP2)</t>
        </is>
      </c>
      <c r="D7" s="48" t="inlineStr">
        <is>
          <t>Engineered control/relay panels, modular control buildings</t>
        </is>
      </c>
      <c r="E7" s="18" t="n">
        <v>1100</v>
      </c>
      <c r="F7" s="18" t="n">
        <v>323</v>
      </c>
      <c r="G7" s="45" t="inlineStr">
        <is>
          <t>n/a</t>
        </is>
      </c>
      <c r="H7" s="40">
        <f>IF(ISNUMBER(F7),E7/F7,"n/a")</f>
        <v/>
      </c>
      <c r="I7" s="40">
        <f>IF(ISNUMBER(G7),E7/G7,"n/a")</f>
        <v/>
      </c>
      <c r="J7" s="48" t="inlineStr">
        <is>
          <t>Rev FY Mar-26; EBITDA not disclosed; ~$100mm tax benefit</t>
        </is>
      </c>
      <c r="K7" s="49" t="n">
        <v>1</v>
      </c>
      <c r="L7" s="40">
        <f>IF(AND(K7=1,ISNUMBER(H7)),H7,"")</f>
        <v/>
      </c>
      <c r="M7" s="40">
        <f>IF(AND(K7=1,ISNUMBER(I7)),I7,"")</f>
        <v/>
      </c>
    </row>
    <row r="8">
      <c r="A8" s="7" t="inlineStr">
        <is>
          <t>Oct-2025</t>
        </is>
      </c>
      <c r="B8" s="48" t="inlineStr">
        <is>
          <t>GE Vernova</t>
        </is>
      </c>
      <c r="C8" s="48" t="inlineStr">
        <is>
          <t>Prolec GE (remaining 50%)</t>
        </is>
      </c>
      <c r="D8" s="48" t="inlineStr">
        <is>
          <t>Power, distribution and specialty transformers (North America)</t>
        </is>
      </c>
      <c r="E8" s="18" t="n">
        <v>10550</v>
      </c>
      <c r="F8" s="18" t="n">
        <v>3000</v>
      </c>
      <c r="G8" s="18" t="n">
        <v>750</v>
      </c>
      <c r="H8" s="40">
        <f>IF(ISNUMBER(F8),E8/F8,"n/a")</f>
        <v/>
      </c>
      <c r="I8" s="40">
        <f>IF(ISNUMBER(G8),E8/G8,"n/a")</f>
        <v/>
      </c>
      <c r="J8" s="48" t="inlineStr">
        <is>
          <t>2025E; 50% stake price ($5.275bn) scaled to 100%; EBITDA derived at ~25% margin</t>
        </is>
      </c>
      <c r="K8" s="49" t="n">
        <v>1</v>
      </c>
      <c r="L8" s="40">
        <f>IF(AND(K8=1,ISNUMBER(H8)),H8,"")</f>
        <v/>
      </c>
      <c r="M8" s="40">
        <f>IF(AND(K8=1,ISNUMBER(I8)),I8,"")</f>
        <v/>
      </c>
    </row>
    <row r="9">
      <c r="A9" s="7" t="inlineStr">
        <is>
          <t>Aug-2025</t>
        </is>
      </c>
      <c r="B9" s="48" t="inlineStr">
        <is>
          <t>Hubbell</t>
        </is>
      </c>
      <c r="C9" s="48" t="inlineStr">
        <is>
          <t>DMC Power</t>
        </is>
      </c>
      <c r="D9" s="48" t="inlineStr">
        <is>
          <t>Substation and transmission connector systems</t>
        </is>
      </c>
      <c r="E9" s="18" t="n">
        <v>825</v>
      </c>
      <c r="F9" s="18" t="n">
        <v>130</v>
      </c>
      <c r="G9" s="18" t="n">
        <v>60</v>
      </c>
      <c r="H9" s="40">
        <f>IF(ISNUMBER(F9),E9/F9,"n/a")</f>
        <v/>
      </c>
      <c r="I9" s="40">
        <f>IF(ISNUMBER(G9),E9/G9,"n/a")</f>
        <v/>
      </c>
      <c r="J9" s="48" t="inlineStr">
        <is>
          <t>2026E</t>
        </is>
      </c>
      <c r="K9" s="49" t="n">
        <v>1</v>
      </c>
      <c r="L9" s="40">
        <f>IF(AND(K9=1,ISNUMBER(H9)),H9,"")</f>
        <v/>
      </c>
      <c r="M9" s="40">
        <f>IF(AND(K9=1,ISNUMBER(I9)),I9,"")</f>
        <v/>
      </c>
    </row>
    <row r="10">
      <c r="A10" s="7" t="inlineStr">
        <is>
          <t>Mar-2025</t>
        </is>
      </c>
      <c r="B10" s="48" t="inlineStr">
        <is>
          <t>Eaton</t>
        </is>
      </c>
      <c r="C10" s="48" t="inlineStr">
        <is>
          <t>Fibrebond</t>
        </is>
      </c>
      <c r="D10" s="48" t="inlineStr">
        <is>
          <t>Pre-integrated modular power enclosures / skids (data centers, utilities)</t>
        </is>
      </c>
      <c r="E10" s="18" t="n">
        <v>1400</v>
      </c>
      <c r="F10" s="18" t="n">
        <v>378</v>
      </c>
      <c r="G10" s="18" t="n">
        <v>110</v>
      </c>
      <c r="H10" s="40">
        <f>IF(ISNUMBER(F10),E10/F10,"n/a")</f>
        <v/>
      </c>
      <c r="I10" s="40">
        <f>IF(ISNUMBER(G10),E10/G10,"n/a")</f>
        <v/>
      </c>
      <c r="J10" s="48" t="inlineStr">
        <is>
          <t>Rev TTM Feb-25; EBITDA 2025E; excl. $240mm assumed retention awards</t>
        </is>
      </c>
      <c r="K10" s="49" t="n">
        <v>1</v>
      </c>
      <c r="L10" s="40">
        <f>IF(AND(K10=1,ISNUMBER(H10)),H10,"")</f>
        <v/>
      </c>
      <c r="M10" s="40">
        <f>IF(AND(K10=1,ISNUMBER(I10)),I10,"")</f>
        <v/>
      </c>
    </row>
    <row r="11">
      <c r="A11" s="7" t="inlineStr">
        <is>
          <t>Mar-2025</t>
        </is>
      </c>
      <c r="B11" s="48" t="inlineStr">
        <is>
          <t>nVent</t>
        </is>
      </c>
      <c r="C11" s="48" t="inlineStr">
        <is>
          <t>Avail Electrical Products Group</t>
        </is>
      </c>
      <c r="D11" s="48" t="inlineStr">
        <is>
          <t>Enclosures, switchgear and bus systems for utilities and data centers</t>
        </is>
      </c>
      <c r="E11" s="18" t="n">
        <v>975</v>
      </c>
      <c r="F11" s="18" t="n">
        <v>375</v>
      </c>
      <c r="G11" s="18" t="n">
        <v>78</v>
      </c>
      <c r="H11" s="40">
        <f>IF(ISNUMBER(F11),E11/F11,"n/a")</f>
        <v/>
      </c>
      <c r="I11" s="50" t="n">
        <v>12.5</v>
      </c>
      <c r="J11" s="48" t="inlineStr">
        <is>
          <t>TTM; 12.5x stated</t>
        </is>
      </c>
      <c r="K11" s="49" t="n">
        <v>1</v>
      </c>
      <c r="L11" s="40">
        <f>IF(AND(K11=1,ISNUMBER(H11)),H11,"")</f>
        <v/>
      </c>
      <c r="M11" s="40">
        <f>IF(AND(K11=1,ISNUMBER(I11)),I11,"")</f>
        <v/>
      </c>
    </row>
    <row r="12">
      <c r="A12" s="7" t="inlineStr">
        <is>
          <t>Jun-2024</t>
        </is>
      </c>
      <c r="B12" s="48" t="inlineStr">
        <is>
          <t>nVent</t>
        </is>
      </c>
      <c r="C12" s="48" t="inlineStr">
        <is>
          <t>Trachte</t>
        </is>
      </c>
      <c r="D12" s="48" t="inlineStr">
        <is>
          <t>Custom-engineered control buildings (utility, data center)</t>
        </is>
      </c>
      <c r="E12" s="18" t="n">
        <v>695</v>
      </c>
      <c r="F12" s="18" t="n">
        <v>250</v>
      </c>
      <c r="G12" s="18" t="n">
        <v>58</v>
      </c>
      <c r="H12" s="40">
        <f>IF(ISNUMBER(F12),E12/F12,"n/a")</f>
        <v/>
      </c>
      <c r="I12" s="50" t="n">
        <v>12</v>
      </c>
      <c r="J12" s="48" t="inlineStr">
        <is>
          <t>2024E; ~12x 'effective' stated</t>
        </is>
      </c>
      <c r="K12" s="49" t="n">
        <v>1</v>
      </c>
      <c r="L12" s="40">
        <f>IF(AND(K12=1,ISNUMBER(H12)),H12,"")</f>
        <v/>
      </c>
      <c r="M12" s="40">
        <f>IF(AND(K12=1,ISNUMBER(I12)),I12,"")</f>
        <v/>
      </c>
    </row>
    <row r="13">
      <c r="A13" s="7" t="inlineStr">
        <is>
          <t>Oct-2023</t>
        </is>
      </c>
      <c r="B13" s="48" t="inlineStr">
        <is>
          <t>Hubbell</t>
        </is>
      </c>
      <c r="C13" s="48" t="inlineStr">
        <is>
          <t>Systems Control</t>
        </is>
      </c>
      <c r="D13" s="48" t="inlineStr">
        <is>
          <t>Substation control and relay panels, control buildings</t>
        </is>
      </c>
      <c r="E13" s="18" t="n">
        <v>1100</v>
      </c>
      <c r="F13" s="18" t="n">
        <v>400</v>
      </c>
      <c r="G13" s="18" t="n">
        <v>91.59999999999999</v>
      </c>
      <c r="H13" s="40">
        <f>IF(ISNUMBER(F13),E13/F13,"n/a")</f>
        <v/>
      </c>
      <c r="I13" s="40">
        <f>IF(ISNUMBER(G13),E13/G13,"n/a")</f>
        <v/>
      </c>
      <c r="J13" s="48" t="inlineStr">
        <is>
          <t>2024E; ~12x stated</t>
        </is>
      </c>
      <c r="K13" s="49" t="n">
        <v>1</v>
      </c>
      <c r="L13" s="40">
        <f>IF(AND(K13=1,ISNUMBER(H13)),H13,"")</f>
        <v/>
      </c>
      <c r="M13" s="40">
        <f>IF(AND(K13=1,ISNUMBER(I13)),I13,"")</f>
        <v/>
      </c>
    </row>
    <row r="14">
      <c r="A14" s="7" t="inlineStr">
        <is>
          <t>Apr-2023</t>
        </is>
      </c>
      <c r="B14" s="48" t="inlineStr">
        <is>
          <t>nVent</t>
        </is>
      </c>
      <c r="C14" s="48" t="inlineStr">
        <is>
          <t>ECM Industries</t>
        </is>
      </c>
      <c r="D14" s="48" t="inlineStr">
        <is>
          <t>Electrical connectors, tools and consumables</t>
        </is>
      </c>
      <c r="E14" s="18" t="n">
        <v>1100</v>
      </c>
      <c r="F14" s="18" t="n">
        <v>415</v>
      </c>
      <c r="G14" s="18" t="n">
        <v>104</v>
      </c>
      <c r="H14" s="40">
        <f>IF(ISNUMBER(F14),E14/F14,"n/a")</f>
        <v/>
      </c>
      <c r="I14" s="50" t="n">
        <v>10.6</v>
      </c>
      <c r="J14" s="48" t="inlineStr">
        <is>
          <t>TTM adj.; ~10.6x 'effective' stated</t>
        </is>
      </c>
      <c r="K14" s="49" t="n">
        <v>1</v>
      </c>
      <c r="L14" s="40">
        <f>IF(AND(K14=1,ISNUMBER(H14)),H14,"")</f>
        <v/>
      </c>
      <c r="M14" s="40">
        <f>IF(AND(K14=1,ISNUMBER(I14)),I14,"")</f>
        <v/>
      </c>
    </row>
    <row r="15">
      <c r="A15" s="7" t="inlineStr">
        <is>
          <t>Sep-2021</t>
        </is>
      </c>
      <c r="B15" s="48" t="inlineStr">
        <is>
          <t>Vertiv</t>
        </is>
      </c>
      <c r="C15" s="48" t="inlineStr">
        <is>
          <t>E&amp;I Engineering / Powerbar Gulf</t>
        </is>
      </c>
      <c r="D15" s="48" t="inlineStr">
        <is>
          <t>Switchgear, busway, integrated modular power for data centers</t>
        </is>
      </c>
      <c r="E15" s="18" t="n">
        <v>1800</v>
      </c>
      <c r="F15" s="18" t="n">
        <v>460</v>
      </c>
      <c r="G15" s="18" t="n">
        <v>150</v>
      </c>
      <c r="H15" s="40">
        <f>IF(ISNUMBER(F15),E15/F15,"n/a")</f>
        <v/>
      </c>
      <c r="I15" s="40">
        <f>IF(ISNUMBER(G15),E15/G15,"n/a")</f>
        <v/>
      </c>
      <c r="J15" s="48" t="inlineStr">
        <is>
          <t>Rev 2021E; EBITDA 2022E pre-synergy; excl. up to $200mm earnout</t>
        </is>
      </c>
      <c r="K15" s="49" t="n">
        <v>1</v>
      </c>
      <c r="L15" s="40">
        <f>IF(AND(K15=1,ISNUMBER(H15)),H15,"")</f>
        <v/>
      </c>
      <c r="M15" s="40">
        <f>IF(AND(K15=1,ISNUMBER(I15)),I15,"")</f>
        <v/>
      </c>
    </row>
    <row r="16">
      <c r="A16" s="7" t="inlineStr">
        <is>
          <t>Nov-2025</t>
        </is>
      </c>
      <c r="B16" s="48" t="inlineStr">
        <is>
          <t>Eaton</t>
        </is>
      </c>
      <c r="C16" s="48" t="inlineStr">
        <is>
          <t>Boyd Thermal</t>
        </is>
      </c>
      <c r="D16" s="48" t="inlineStr">
        <is>
          <t>Liquid cooling for AI data centers (thermal, not power)</t>
        </is>
      </c>
      <c r="E16" s="18" t="n">
        <v>9500</v>
      </c>
      <c r="F16" s="18" t="n">
        <v>1700</v>
      </c>
      <c r="G16" s="18" t="n">
        <v>422</v>
      </c>
      <c r="H16" s="40">
        <f>IF(ISNUMBER(F16),E16/F16,"n/a")</f>
        <v/>
      </c>
      <c r="I16" s="50" t="n">
        <v>22.5</v>
      </c>
      <c r="J16" s="48" t="inlineStr">
        <is>
          <t>2026E adj.; 22.5x stated. Excluded: thermal</t>
        </is>
      </c>
      <c r="K16" s="49" t="n">
        <v>0</v>
      </c>
      <c r="L16" s="40">
        <f>IF(AND(K16=1,ISNUMBER(H16)),H16,"")</f>
        <v/>
      </c>
      <c r="M16" s="40">
        <f>IF(AND(K16=1,ISNUMBER(I16)),I16,"")</f>
        <v/>
      </c>
    </row>
    <row r="17">
      <c r="A17" s="7" t="inlineStr">
        <is>
          <t>Nov-2025</t>
        </is>
      </c>
      <c r="B17" s="48" t="inlineStr">
        <is>
          <t>Vertiv</t>
        </is>
      </c>
      <c r="C17" s="48" t="inlineStr">
        <is>
          <t>PurgeRite</t>
        </is>
      </c>
      <c r="D17" s="48" t="inlineStr">
        <is>
          <t>Fluid-management services for liquid cooling</t>
        </is>
      </c>
      <c r="E17" s="18" t="n">
        <v>1000</v>
      </c>
      <c r="F17" s="45" t="inlineStr">
        <is>
          <t>n/a</t>
        </is>
      </c>
      <c r="G17" s="45" t="inlineStr">
        <is>
          <t>n/a</t>
        </is>
      </c>
      <c r="H17" s="40">
        <f>IF(ISNUMBER(F17),E17/F17,"n/a")</f>
        <v/>
      </c>
      <c r="I17" s="50" t="n">
        <v>10</v>
      </c>
      <c r="J17" s="48" t="inlineStr">
        <is>
          <t>2026E post-synergy, stated. Excluded: services/thermal</t>
        </is>
      </c>
      <c r="K17" s="49" t="n">
        <v>0</v>
      </c>
      <c r="L17" s="40">
        <f>IF(AND(K17=1,ISNUMBER(H17)),H17,"")</f>
        <v/>
      </c>
      <c r="M17" s="40">
        <f>IF(AND(K17=1,ISNUMBER(I17)),I17,"")</f>
        <v/>
      </c>
    </row>
    <row r="18">
      <c r="A18" s="7" t="inlineStr">
        <is>
          <t>Jul-2024</t>
        </is>
      </c>
      <c r="B18" s="48" t="inlineStr">
        <is>
          <t>Quanta Services</t>
        </is>
      </c>
      <c r="C18" s="48" t="inlineStr">
        <is>
          <t>Cupertino Electric</t>
        </is>
      </c>
      <c r="D18" s="48" t="inlineStr">
        <is>
          <t>Electrical contractor for data centers (not a manufacturer)</t>
        </is>
      </c>
      <c r="E18" s="18" t="n">
        <v>1540</v>
      </c>
      <c r="F18" s="18" t="n">
        <v>2150</v>
      </c>
      <c r="G18" s="18" t="n">
        <v>165</v>
      </c>
      <c r="H18" s="40">
        <f>IF(ISNUMBER(F18),E18/F18,"n/a")</f>
        <v/>
      </c>
      <c r="I18" s="40">
        <f>IF(ISNUMBER(G18),E18/G18,"n/a")</f>
        <v/>
      </c>
      <c r="J18" s="48" t="inlineStr">
        <is>
          <t>2024E adj. midpoints. Excluded: contractor</t>
        </is>
      </c>
      <c r="K18" s="49" t="n">
        <v>0</v>
      </c>
      <c r="L18" s="40">
        <f>IF(AND(K18=1,ISNUMBER(H18)),H18,"")</f>
        <v/>
      </c>
      <c r="M18" s="40">
        <f>IF(AND(K18=1,ISNUMBER(I18)),I18,"")</f>
        <v/>
      </c>
    </row>
    <row r="19">
      <c r="A19" s="7" t="inlineStr">
        <is>
          <t>Apr-2024</t>
        </is>
      </c>
      <c r="B19" s="48" t="inlineStr">
        <is>
          <t>Prysmian</t>
        </is>
      </c>
      <c r="C19" s="48" t="inlineStr">
        <is>
          <t>Encore Wire</t>
        </is>
      </c>
      <c r="D19" s="48" t="inlineStr">
        <is>
          <t>US building wire and cable</t>
        </is>
      </c>
      <c r="E19" s="18" t="n">
        <v>4160</v>
      </c>
      <c r="F19" s="45" t="inlineStr">
        <is>
          <t>n/a</t>
        </is>
      </c>
      <c r="G19" s="45" t="inlineStr">
        <is>
          <t>n/a</t>
        </is>
      </c>
      <c r="H19" s="40">
        <f>IF(ISNUMBER(F19),E19/F19,"n/a")</f>
        <v/>
      </c>
      <c r="I19" s="50" t="n">
        <v>8.199999999999999</v>
      </c>
      <c r="J19" s="48" t="inlineStr">
        <is>
          <t>2023A, 8.2x stated (6.3x post-synergy). Excluded: commodity cable</t>
        </is>
      </c>
      <c r="K19" s="49" t="n">
        <v>0</v>
      </c>
      <c r="L19" s="40">
        <f>IF(AND(K19=1,ISNUMBER(H19)),H19,"")</f>
        <v/>
      </c>
      <c r="M19" s="40">
        <f>IF(AND(K19=1,ISNUMBER(I19)),I19,"")</f>
        <v/>
      </c>
    </row>
    <row r="21">
      <c r="C21" s="12" t="inlineStr">
        <is>
          <t>Maximum</t>
        </is>
      </c>
      <c r="H21" s="46">
        <f>MAX(L5:L19)</f>
        <v/>
      </c>
      <c r="I21" s="46">
        <f>MAX(M5:M19)</f>
        <v/>
      </c>
    </row>
    <row r="22">
      <c r="C22" s="12" t="inlineStr">
        <is>
          <t>75th percentile</t>
        </is>
      </c>
      <c r="H22" s="46">
        <f>QUARTILE(L5:L19,3)</f>
        <v/>
      </c>
      <c r="I22" s="46">
        <f>QUARTILE(M5:M19,3)</f>
        <v/>
      </c>
    </row>
    <row r="23">
      <c r="C23" s="12" t="inlineStr">
        <is>
          <t>Mean</t>
        </is>
      </c>
      <c r="H23" s="46">
        <f>AVERAGE(L5:L19)</f>
        <v/>
      </c>
      <c r="I23" s="46">
        <f>AVERAGE(M5:M19)</f>
        <v/>
      </c>
    </row>
    <row r="24">
      <c r="C24" s="12" t="inlineStr">
        <is>
          <t>Median</t>
        </is>
      </c>
      <c r="H24" s="46">
        <f>MEDIAN(L5:L19)</f>
        <v/>
      </c>
      <c r="I24" s="46">
        <f>MEDIAN(M5:M19)</f>
        <v/>
      </c>
    </row>
    <row r="25">
      <c r="C25" s="12" t="inlineStr">
        <is>
          <t>25th percentile</t>
        </is>
      </c>
      <c r="H25" s="46">
        <f>QUARTILE(L5:L19,1)</f>
        <v/>
      </c>
      <c r="I25" s="46">
        <f>QUARTILE(M5:M19,1)</f>
        <v/>
      </c>
    </row>
    <row r="26">
      <c r="C26" s="12" t="inlineStr">
        <is>
          <t>Minimum</t>
        </is>
      </c>
      <c r="H26" s="46">
        <f>MIN(L5:L19)</f>
        <v/>
      </c>
      <c r="I26" s="46">
        <f>MIN(M5:M19)</f>
        <v/>
      </c>
    </row>
    <row r="28">
      <c r="A28" s="5" t="inlineStr">
        <is>
          <t>Implied FPS valuation (applied to FPS CY26E, 25th pct - median - 75th pct; core deals only)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17" t="inlineStr">
        <is>
          <t>Metric</t>
        </is>
      </c>
      <c r="B29" s="17" t="inlineStr"/>
      <c r="C29" s="17" t="inlineStr">
        <is>
          <t>FPS CY26E metric</t>
        </is>
      </c>
      <c r="D29" s="17" t="inlineStr">
        <is>
          <t>25th pct</t>
        </is>
      </c>
      <c r="E29" s="17" t="inlineStr">
        <is>
          <t>Median</t>
        </is>
      </c>
      <c r="F29" s="17" t="inlineStr">
        <is>
          <t>75th pct</t>
        </is>
      </c>
      <c r="G29" s="17" t="inlineStr">
        <is>
          <t>Price low</t>
        </is>
      </c>
      <c r="H29" s="17" t="inlineStr">
        <is>
          <t>Price mid</t>
        </is>
      </c>
      <c r="I29" s="17" t="inlineStr">
        <is>
          <t>Price high</t>
        </is>
      </c>
    </row>
    <row r="30">
      <c r="A30" s="7" t="inlineStr">
        <is>
          <t>EV / EBITDA</t>
        </is>
      </c>
      <c r="C30" s="29">
        <f>Comps!M22</f>
        <v/>
      </c>
      <c r="D30" s="40">
        <f>I25</f>
        <v/>
      </c>
      <c r="E30" s="40">
        <f>I24</f>
        <v/>
      </c>
      <c r="F30" s="40">
        <f>I22</f>
        <v/>
      </c>
      <c r="G30" s="47">
        <f>($C30*D30+(-Inputs!$B$10+Inputs!$B$11))/Inputs!$B$13</f>
        <v/>
      </c>
      <c r="H30" s="47">
        <f>($C30*E30+(-Inputs!$B$10+Inputs!$B$11))/Inputs!$B$13</f>
        <v/>
      </c>
      <c r="I30" s="47">
        <f>($C30*F30+(-Inputs!$B$10+Inputs!$B$11))/Inputs!$B$13</f>
        <v/>
      </c>
    </row>
    <row r="31">
      <c r="A31" s="7" t="inlineStr">
        <is>
          <t>EV / revenue</t>
        </is>
      </c>
      <c r="C31" s="29">
        <f>Comps!K22</f>
        <v/>
      </c>
      <c r="D31" s="40">
        <f>H25</f>
        <v/>
      </c>
      <c r="E31" s="40">
        <f>H24</f>
        <v/>
      </c>
      <c r="F31" s="40">
        <f>H22</f>
        <v/>
      </c>
      <c r="G31" s="47">
        <f>($C31*D31+(-Inputs!$B$10+Inputs!$B$11))/Inputs!$B$13</f>
        <v/>
      </c>
      <c r="H31" s="47">
        <f>($C31*E31+(-Inputs!$B$10+Inputs!$B$11))/Inputs!$B$13</f>
        <v/>
      </c>
      <c r="I31" s="47">
        <f>($C31*F31+(-Inputs!$B$10+Inputs!$B$11))/Inputs!$B$13</f>
        <v/>
      </c>
    </row>
    <row r="33">
      <c r="A33" s="4" t="inlineStr">
        <is>
          <t>Notes: (1) Most acquirers disclose current- or next-year EBITDA, so the multiples are applied to FPS's calendar-2026E EBITDA/revenue (blend of FY26A and FY27E), not a pure LTM figure. Bases differ deal by deal - see the Basis column.</t>
        </is>
      </c>
    </row>
    <row r="34">
      <c r="A34" s="4" t="inlineStr">
        <is>
          <t>(2) Deals flagged 0 in 'In stats' (thermal, services, contractor, cable) are shown for context only.</t>
        </is>
      </c>
    </row>
    <row r="35">
      <c r="A35" s="4" t="inlineStr">
        <is>
          <t>(3) Forgent's own formation deals under Neos Partners (MGM Transformer $424.7mm, Oct-23; VanTran $432.7mm, Jun-24; PwrQ $103.0mm; States Manufacturing $68.5mm) disclose price only, so no multiples are available (FPS 424B4).</t>
        </is>
      </c>
    </row>
    <row r="36">
      <c r="A36" s="4" t="inlineStr">
        <is>
          <t>(4) Precedent multiples include a control premium; FPS trades far above them (~21x FY27E EBITDA at market) because its growth is 3-6x the targets'.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Valuation Summary - Football Field ($ per FPS share)</t>
        </is>
      </c>
    </row>
    <row r="2">
      <c r="A2" s="4">
        <f>"Active DCF case: "&amp;Inputs!$C$20&amp;"   |   Current price $"&amp;TEXT(Inputs!$B$6,"0.00")</f>
        <v/>
      </c>
    </row>
    <row r="4">
      <c r="A4" s="17" t="inlineStr">
        <is>
          <t>Methodology</t>
        </is>
      </c>
      <c r="B4" s="17" t="inlineStr">
        <is>
          <t>Low</t>
        </is>
      </c>
      <c r="C4" s="17" t="inlineStr">
        <is>
          <t>High</t>
        </is>
      </c>
      <c r="D4" s="17" t="inlineStr">
        <is>
          <t>Spread</t>
        </is>
      </c>
      <c r="E4" s="17" t="inlineStr">
        <is>
          <t>Midpoint</t>
        </is>
      </c>
      <c r="F4" s="17" t="inlineStr">
        <is>
          <t>vs. current</t>
        </is>
      </c>
    </row>
    <row r="5">
      <c r="A5" s="7" t="inlineStr">
        <is>
          <t>DCF - perpetuity growth (WACC +/-1%, g 2.5-3.5%)</t>
        </is>
      </c>
      <c r="B5" s="39">
        <f>MIN(Sensitivity!D7:F9)</f>
        <v/>
      </c>
      <c r="C5" s="39">
        <f>MAX(Sensitivity!D7:F9)</f>
        <v/>
      </c>
      <c r="D5" s="42">
        <f>C5-B5</f>
        <v/>
      </c>
      <c r="E5" s="42">
        <f>(B5+C5)/2</f>
        <v/>
      </c>
      <c r="F5" s="20">
        <f>E5/Inputs!$B$6-1</f>
        <v/>
      </c>
    </row>
    <row r="6">
      <c r="A6" s="7" t="inlineStr">
        <is>
          <t>DCF - exit multiple (WACC +/-1%, 12-16x)</t>
        </is>
      </c>
      <c r="B6" s="39">
        <f>MIN(Sensitivity!D15:F17)</f>
        <v/>
      </c>
      <c r="C6" s="39">
        <f>MAX(Sensitivity!D15:F17)</f>
        <v/>
      </c>
      <c r="D6" s="42">
        <f>C6-B6</f>
        <v/>
      </c>
      <c r="E6" s="42">
        <f>(B6+C6)/2</f>
        <v/>
      </c>
      <c r="F6" s="20">
        <f>E6/Inputs!$B$6-1</f>
        <v/>
      </c>
    </row>
    <row r="7">
      <c r="A7" s="7" t="inlineStr">
        <is>
          <t>Trading comps - EV / CY27E EBITDA (25th-75th)</t>
        </is>
      </c>
      <c r="B7" s="39">
        <f>Comps!J28</f>
        <v/>
      </c>
      <c r="C7" s="39">
        <f>Comps!L28</f>
        <v/>
      </c>
      <c r="D7" s="42">
        <f>C7-B7</f>
        <v/>
      </c>
      <c r="E7" s="42">
        <f>(B7+C7)/2</f>
        <v/>
      </c>
      <c r="F7" s="20">
        <f>E7/Inputs!$B$6-1</f>
        <v/>
      </c>
    </row>
    <row r="8">
      <c r="A8" s="7" t="inlineStr">
        <is>
          <t>Trading comps - EV / CY26E EBITDA (25th-75th)</t>
        </is>
      </c>
      <c r="B8" s="39">
        <f>Comps!J27</f>
        <v/>
      </c>
      <c r="C8" s="39">
        <f>Comps!L27</f>
        <v/>
      </c>
      <c r="D8" s="42">
        <f>C8-B8</f>
        <v/>
      </c>
      <c r="E8" s="42">
        <f>(B8+C8)/2</f>
        <v/>
      </c>
      <c r="F8" s="20">
        <f>E8/Inputs!$B$6-1</f>
        <v/>
      </c>
    </row>
    <row r="9">
      <c r="A9" s="7" t="inlineStr">
        <is>
          <t>Precedent transactions - EV / CY26E EBITDA (25th-75th)</t>
        </is>
      </c>
      <c r="B9" s="39">
        <f>Precedents!G30</f>
        <v/>
      </c>
      <c r="C9" s="39">
        <f>Precedents!I30</f>
        <v/>
      </c>
      <c r="D9" s="42">
        <f>C9-B9</f>
        <v/>
      </c>
      <c r="E9" s="42">
        <f>(B9+C9)/2</f>
        <v/>
      </c>
      <c r="F9" s="20">
        <f>E9/Inputs!$B$6-1</f>
        <v/>
      </c>
    </row>
    <row r="10">
      <c r="A10" s="7" t="inlineStr">
        <is>
          <t>Analyst price targets (consensus mean)</t>
        </is>
      </c>
      <c r="B10" s="9" t="n">
        <v>57.9</v>
      </c>
      <c r="C10" s="9" t="n">
        <v>57.9</v>
      </c>
      <c r="D10" s="42">
        <f>C10-B10</f>
        <v/>
      </c>
      <c r="E10" s="42">
        <f>(B10+C10)/2</f>
        <v/>
      </c>
      <c r="F10" s="20">
        <f>E10/Inputs!$B$6-1</f>
        <v/>
      </c>
    </row>
    <row r="12">
      <c r="A12" s="12" t="inlineStr">
        <is>
          <t>Current share price</t>
        </is>
      </c>
      <c r="B12" s="51">
        <f>Inputs!$B$6</f>
        <v/>
      </c>
    </row>
    <row r="13">
      <c r="A13" s="12" t="inlineStr">
        <is>
          <t>DCF point estimate - perpetuity / exit multiple</t>
        </is>
      </c>
      <c r="B13" s="39">
        <f>DCF!$B$40</f>
        <v/>
      </c>
      <c r="C13" s="39">
        <f>DCF!$C$40</f>
        <v/>
      </c>
    </row>
    <row r="14">
      <c r="A14" s="12" t="inlineStr">
        <is>
          <t>Market-implied EV / FY27E EBITDA (guidance midpoint)</t>
        </is>
      </c>
      <c r="B14" s="40">
        <f>Inputs!$B$16/DCF!C7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2026-09-26T22:10:18Z</dcterms:created>
  <dcterms:modified xsi:type="dcterms:W3CDTF">2026-09-26T22:10:18Z</dcterms:modified>
</cp:coreProperties>
</file>